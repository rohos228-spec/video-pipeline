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идеи роликов" sheetId="1" state="visible" r:id="rId1"/>
    <sheet name="Общий план" sheetId="2" state="visible" r:id="rId2"/>
    <sheet name="план" sheetId="3" state="visible" r:id="rId3"/>
    <sheet name="Фоны" sheetId="4" state="visible" r:id="rId4"/>
    <sheet name="Предметы" sheetId="5" state="visible" r:id="rId5"/>
    <sheet name="Персонажи" sheetId="6" state="visible" r:id="rId6"/>
    <sheet name="AI draft" sheetId="7" state="visible" r:id="rId7"/>
    <sheet name="промт фото" sheetId="8" state="visible" r:id="rId8"/>
    <sheet name="промт видео" sheetId="9" state="visible" r:id="rId9"/>
    <sheet name="промт текста" sheetId="10" state="visible" r:id="rId10"/>
    <sheet name="Промт для GPT" sheetId="11" state="visible" r:id="rId11"/>
    <sheet name="промт плана" sheetId="12" state="visible" r:id="rId12"/>
    <sheet name="Инструкция_агнета" sheetId="13" state="visible" r:id="rId13"/>
    <sheet name="Справочники_блоки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Calibri"/>
      <color rgb="FF000000"/>
      <sz val="10"/>
    </font>
    <font>
      <name val="Arial"/>
      <color theme="1"/>
      <sz val="10"/>
    </font>
    <font>
      <name val="Calibri"/>
      <color rgb="FF000000"/>
      <sz val="10"/>
    </font>
    <font>
      <name val="Arial"/>
      <color rgb="FF3F4350"/>
      <sz val="11"/>
    </font>
    <font>
      <name val="Arial"/>
      <b val="1"/>
      <color rgb="FF000000"/>
      <sz val="10"/>
    </font>
    <font>
      <name val="Arial"/>
      <color rgb="FF000000"/>
      <sz val="10"/>
    </font>
    <font>
      <name val="Calibri"/>
      <color theme="1"/>
      <sz val="10"/>
    </font>
    <font>
      <name val="Arial"/>
      <b val="1"/>
      <color rgb="FF000000"/>
      <sz val="13"/>
    </font>
    <font>
      <name val="Arial"/>
      <b val="1"/>
      <color rgb="FF000000"/>
      <sz val="18"/>
    </font>
    <font>
      <name val="Arial"/>
      <b val="1"/>
      <color rgb="FFFFFFFF"/>
      <sz val="13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rgb="FFFFFFFF"/>
      <sz val="12"/>
    </font>
    <font>
      <name val="Arial"/>
      <color theme="1"/>
      <sz val="9"/>
    </font>
    <font>
      <name val="Arial"/>
      <color rgb="FF000000"/>
      <sz val="9"/>
    </font>
    <font>
      <name val="Calibri"/>
      <b val="1"/>
      <color rgb="FF000000"/>
      <sz val="18"/>
    </font>
    <font>
      <name val="Arial"/>
      <color theme="1"/>
      <sz val="11"/>
    </font>
    <font>
      <name val="Arial"/>
      <b val="1"/>
      <color theme="1"/>
      <sz val="14"/>
    </font>
    <font>
      <name val="Calibri"/>
      <b val="1"/>
      <color rgb="FF1F2937"/>
      <sz val="11"/>
    </font>
    <font>
      <name val="Calibri"/>
      <color rgb="FF111827"/>
      <sz val="10"/>
    </font>
    <font>
      <name val="Calibri"/>
      <b val="1"/>
      <color rgb="FF111827"/>
      <sz val="10"/>
    </font>
    <font>
      <name val="Calibri"/>
      <b val="1"/>
      <color rgb="FF000000"/>
      <sz val="14"/>
    </font>
    <font>
      <name val="Calibri"/>
      <b val="1"/>
      <color rgb="FF000000"/>
      <sz val="10"/>
    </font>
    <font>
      <i val="1"/>
      <color rgb="00888888"/>
      <sz val="9"/>
    </font>
  </fonts>
  <fills count="1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BDD7EE"/>
      </patternFill>
    </fill>
    <fill>
      <patternFill patternType="solid">
        <fgColor rgb="FFDEEAF1"/>
      </patternFill>
    </fill>
    <fill>
      <patternFill patternType="solid">
        <fgColor rgb="FFEAF2FF"/>
      </patternFill>
    </fill>
    <fill>
      <patternFill patternType="solid">
        <fgColor rgb="FFEDF7ED"/>
      </patternFill>
    </fill>
    <fill>
      <patternFill patternType="solid">
        <fgColor rgb="FFFFF4E5"/>
      </patternFill>
    </fill>
    <fill>
      <patternFill patternType="solid">
        <fgColor rgb="FFF3EDFF"/>
      </patternFill>
    </fill>
    <fill>
      <patternFill patternType="solid">
        <fgColor rgb="FFEFFFFA"/>
      </patternFill>
    </fill>
    <fill>
      <patternFill patternType="solid">
        <fgColor rgb="FFEEF2F6"/>
      </patternFill>
    </fill>
    <fill>
      <patternFill patternType="solid">
        <fgColor rgb="FFFFF0F6"/>
      </patternFill>
    </fill>
    <fill>
      <patternFill patternType="solid">
        <fgColor rgb="FFF8F9FA"/>
      </patternFill>
    </fill>
    <fill>
      <patternFill patternType="solid">
        <fgColor rgb="FFFFEFEF"/>
      </patternFill>
    </fill>
    <fill>
      <patternFill patternType="solid">
        <fgColor rgb="FFF8FAFC"/>
      </patternFill>
    </fill>
    <fill>
      <patternFill patternType="solid">
        <fgColor rgb="FFFFFDF7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CBD5E1"/>
      </bottom>
      <diagonal/>
    </border>
  </borders>
  <cellStyleXfs count="2">
    <xf numFmtId="0" fontId="2" fillId="0" borderId="0"/>
    <xf numFmtId="0" fontId="2" fillId="0" borderId="0"/>
  </cellStyleXfs>
  <cellXfs count="83">
    <xf numFmtId="0" fontId="0" fillId="0" borderId="0" pivotButton="0" quotePrefix="0" xfId="0"/>
    <xf numFmtId="0" fontId="1" fillId="0" borderId="0" pivotButton="0" quotePrefix="0" xfId="1"/>
    <xf numFmtId="0" fontId="2" fillId="0" borderId="0" pivotButton="0" quotePrefix="0" xfId="1"/>
    <xf numFmtId="0" fontId="3" fillId="0" borderId="0" applyAlignment="1" pivotButton="0" quotePrefix="0" xfId="1">
      <alignment horizontal="left" vertical="center"/>
    </xf>
    <xf numFmtId="0" fontId="4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vertical="center" wrapText="1"/>
    </xf>
    <xf numFmtId="0" fontId="6" fillId="0" borderId="0" pivotButton="0" quotePrefix="0" xfId="1"/>
    <xf numFmtId="0" fontId="7" fillId="0" borderId="0" applyAlignment="1" pivotButton="0" quotePrefix="0" xfId="1">
      <alignment vertical="center"/>
    </xf>
    <xf numFmtId="0" fontId="8" fillId="0" borderId="0" applyAlignment="1" pivotButton="0" quotePrefix="0" xfId="1">
      <alignment vertical="center"/>
    </xf>
    <xf numFmtId="0" fontId="10" fillId="3" borderId="0" applyAlignment="1" pivotButton="0" quotePrefix="0" xfId="1">
      <alignment horizontal="left" vertical="top" wrapText="1"/>
    </xf>
    <xf numFmtId="0" fontId="11" fillId="0" borderId="0" applyAlignment="1" pivotButton="0" quotePrefix="0" xfId="1">
      <alignment horizontal="left" vertical="top" wrapText="1"/>
    </xf>
    <xf numFmtId="0" fontId="10" fillId="4" borderId="0" applyAlignment="1" pivotButton="0" quotePrefix="0" xfId="1">
      <alignment horizontal="center" vertical="top" wrapText="1"/>
    </xf>
    <xf numFmtId="0" fontId="10" fillId="5" borderId="0" applyAlignment="1" pivotButton="0" quotePrefix="0" xfId="1">
      <alignment horizontal="left" vertical="top" wrapText="1"/>
    </xf>
    <xf numFmtId="0" fontId="11" fillId="5" borderId="0" applyAlignment="1" pivotButton="0" quotePrefix="0" xfId="1">
      <alignment horizontal="left" vertical="top" wrapText="1"/>
    </xf>
    <xf numFmtId="0" fontId="10" fillId="0" borderId="0" applyAlignment="1" pivotButton="0" quotePrefix="0" xfId="1">
      <alignment horizontal="left" vertical="top" wrapText="1"/>
    </xf>
    <xf numFmtId="0" fontId="11" fillId="5" borderId="0" applyAlignment="1" pivotButton="0" quotePrefix="0" xfId="1">
      <alignment horizontal="center" vertical="top" wrapText="1"/>
    </xf>
    <xf numFmtId="0" fontId="11" fillId="0" borderId="0" applyAlignment="1" pivotButton="0" quotePrefix="0" xfId="1">
      <alignment horizontal="center" vertical="top" wrapText="1"/>
    </xf>
    <xf numFmtId="0" fontId="13" fillId="0" borderId="0" pivotButton="0" quotePrefix="0" xfId="1"/>
    <xf numFmtId="0" fontId="5" fillId="0" borderId="0" pivotButton="0" quotePrefix="0" xfId="1"/>
    <xf numFmtId="0" fontId="13" fillId="0" borderId="1" pivotButton="0" quotePrefix="0" xfId="1"/>
    <xf numFmtId="0" fontId="13" fillId="0" borderId="4" pivotButton="0" quotePrefix="0" xfId="1"/>
    <xf numFmtId="0" fontId="1" fillId="0" borderId="0" applyAlignment="1" pivotButton="0" quotePrefix="0" xfId="1">
      <alignment vertical="center"/>
    </xf>
    <xf numFmtId="0" fontId="14" fillId="0" borderId="0" pivotButton="0" quotePrefix="0" xfId="1"/>
    <xf numFmtId="0" fontId="2" fillId="0" borderId="0" applyAlignment="1" pivotButton="0" quotePrefix="0" xfId="1">
      <alignment horizontal="left" vertical="center"/>
    </xf>
    <xf numFmtId="0" fontId="15" fillId="0" borderId="0" applyAlignment="1" pivotButton="0" quotePrefix="0" xfId="1">
      <alignment vertical="center"/>
    </xf>
    <xf numFmtId="0" fontId="16" fillId="0" borderId="0" pivotButton="0" quotePrefix="0" xfId="1"/>
    <xf numFmtId="0" fontId="17" fillId="0" borderId="0" pivotButton="0" quotePrefix="0" xfId="1"/>
    <xf numFmtId="0" fontId="0" fillId="0" borderId="0" pivotButton="0" quotePrefix="0" xfId="1"/>
    <xf numFmtId="0" fontId="0" fillId="0" borderId="0" pivotButton="0" quotePrefix="0" xfId="1"/>
    <xf numFmtId="0" fontId="0" fillId="0" borderId="0" applyAlignment="1" pivotButton="0" quotePrefix="0" xfId="0">
      <alignment horizontal="left" vertical="top" wrapText="1"/>
    </xf>
    <xf numFmtId="0" fontId="18" fillId="6" borderId="6" applyAlignment="1" pivotButton="0" quotePrefix="0" xfId="0">
      <alignment horizontal="center" vertical="center" wrapText="1"/>
    </xf>
    <xf numFmtId="0" fontId="18" fillId="6" borderId="7" applyAlignment="1" pivotButton="0" quotePrefix="0" xfId="0">
      <alignment vertical="center" wrapText="1"/>
    </xf>
    <xf numFmtId="0" fontId="18" fillId="6" borderId="8" applyAlignment="1" pivotButton="0" quotePrefix="0" xfId="0">
      <alignment vertical="center" wrapText="1"/>
    </xf>
    <xf numFmtId="0" fontId="19" fillId="15" borderId="9" applyAlignment="1" pivotButton="0" quotePrefix="0" xfId="0">
      <alignment horizontal="center" vertical="top" wrapText="1"/>
    </xf>
    <xf numFmtId="0" fontId="19" fillId="15" borderId="9" applyAlignment="1" pivotButton="0" quotePrefix="0" xfId="0">
      <alignment vertical="top" wrapText="1"/>
    </xf>
    <xf numFmtId="0" fontId="20" fillId="15" borderId="9" applyAlignment="1" pivotButton="0" quotePrefix="0" xfId="0">
      <alignment vertical="top" wrapText="1"/>
    </xf>
    <xf numFmtId="0" fontId="19" fillId="0" borderId="9" applyAlignment="1" pivotButton="0" quotePrefix="0" xfId="0">
      <alignment vertical="top" wrapText="1"/>
    </xf>
    <xf numFmtId="0" fontId="20" fillId="7" borderId="9" applyAlignment="1" pivotButton="0" quotePrefix="0" xfId="0">
      <alignment vertical="top" wrapText="1"/>
    </xf>
    <xf numFmtId="0" fontId="20" fillId="8" borderId="9" applyAlignment="1" pivotButton="0" quotePrefix="0" xfId="0">
      <alignment vertical="top" wrapText="1"/>
    </xf>
    <xf numFmtId="0" fontId="20" fillId="9" borderId="9" applyAlignment="1" pivotButton="0" quotePrefix="0" xfId="0">
      <alignment vertical="top" wrapText="1"/>
    </xf>
    <xf numFmtId="0" fontId="20" fillId="10" borderId="9" applyAlignment="1" pivotButton="0" quotePrefix="0" xfId="0">
      <alignment vertical="top" wrapText="1"/>
    </xf>
    <xf numFmtId="0" fontId="20" fillId="11" borderId="9" applyAlignment="1" pivotButton="0" quotePrefix="0" xfId="0">
      <alignment vertical="top" wrapText="1"/>
    </xf>
    <xf numFmtId="0" fontId="20" fillId="12" borderId="9" applyAlignment="1" pivotButton="0" quotePrefix="0" xfId="0">
      <alignment vertical="top" wrapText="1"/>
    </xf>
    <xf numFmtId="0" fontId="20" fillId="13" borderId="9" applyAlignment="1" pivotButton="0" quotePrefix="0" xfId="0">
      <alignment vertical="top" wrapText="1"/>
    </xf>
    <xf numFmtId="0" fontId="20" fillId="14" borderId="9" applyAlignment="1" pivotButton="0" quotePrefix="0" xfId="0">
      <alignment vertical="top" wrapText="1"/>
    </xf>
    <xf numFmtId="0" fontId="19" fillId="16" borderId="9" applyAlignment="1" pivotButton="0" quotePrefix="0" xfId="0">
      <alignment vertical="top" wrapText="1"/>
    </xf>
    <xf numFmtId="0" fontId="20" fillId="16" borderId="9" applyAlignment="1" pivotButton="0" quotePrefix="0" xfId="0">
      <alignment vertical="top" wrapText="1"/>
    </xf>
    <xf numFmtId="0" fontId="21" fillId="6" borderId="0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9" applyAlignment="1" pivotButton="0" quotePrefix="0" xfId="0">
      <alignment vertical="top" wrapText="1"/>
    </xf>
    <xf numFmtId="0" fontId="22" fillId="9" borderId="0" applyAlignment="1" pivotButton="0" quotePrefix="0" xfId="0">
      <alignment wrapText="1"/>
    </xf>
    <xf numFmtId="0" fontId="0" fillId="0" borderId="0" pivotButton="0" quotePrefix="0" xfId="1"/>
    <xf numFmtId="0" fontId="13" fillId="0" borderId="0" pivotButton="0" quotePrefix="0" xfId="1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10" pivotButton="0" quotePrefix="0" xfId="0"/>
    <xf numFmtId="0" fontId="0" fillId="0" borderId="11" pivotButton="0" quotePrefix="0" xfId="0"/>
    <xf numFmtId="0" fontId="2" fillId="0" borderId="11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1"/>
    <xf numFmtId="0" fontId="1" fillId="0" borderId="0" applyAlignment="1" pivotButton="0" quotePrefix="0" xfId="1">
      <alignment horizontal="center" vertical="top" wrapText="1"/>
    </xf>
    <xf numFmtId="0" fontId="0" fillId="0" borderId="0" pivotButton="0" quotePrefix="0" xfId="1"/>
    <xf numFmtId="0" fontId="13" fillId="0" borderId="0" pivotButton="0" quotePrefix="0" xfId="1"/>
    <xf numFmtId="0" fontId="18" fillId="6" borderId="7" applyAlignment="1" pivotButton="0" quotePrefix="0" xfId="0">
      <alignment horizontal="left" vertical="top" wrapText="1"/>
    </xf>
    <xf numFmtId="0" fontId="19" fillId="0" borderId="9" applyAlignment="1" pivotButton="0" quotePrefix="0" xfId="0">
      <alignment horizontal="left" vertical="top" wrapText="1"/>
    </xf>
    <xf numFmtId="0" fontId="1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1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4" applyAlignment="1" pivotButton="0" quotePrefix="0" xfId="0">
      <alignment wrapText="1"/>
    </xf>
    <xf numFmtId="0" fontId="1" fillId="0" borderId="5" applyAlignment="1" pivotButton="0" quotePrefix="0" xfId="0">
      <alignment wrapText="1"/>
    </xf>
    <xf numFmtId="16" fontId="1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1" fillId="0" borderId="0" applyAlignment="1" pivotButton="0" quotePrefix="0" xfId="1">
      <alignment vertical="top"/>
    </xf>
    <xf numFmtId="0" fontId="11" fillId="0" borderId="0" applyAlignment="1" pivotButton="0" quotePrefix="0" xfId="1">
      <alignment horizontal="left" vertical="top" wrapText="1"/>
    </xf>
    <xf numFmtId="0" fontId="0" fillId="0" borderId="0" pivotButton="0" quotePrefix="0" xfId="1"/>
    <xf numFmtId="0" fontId="9" fillId="2" borderId="0" applyAlignment="1" pivotButton="0" quotePrefix="0" xfId="1">
      <alignment horizontal="center" vertical="top" wrapText="1"/>
    </xf>
    <xf numFmtId="0" fontId="12" fillId="2" borderId="0" applyAlignment="1" pivotButton="0" quotePrefix="0" xfId="1">
      <alignment horizontal="center" vertical="top" wrapText="1"/>
    </xf>
    <xf numFmtId="0" fontId="1" fillId="0" borderId="12" applyAlignment="1" pivotButton="0" quotePrefix="0" xfId="0">
      <alignment horizontal="center" vertical="top" wrapText="1"/>
    </xf>
    <xf numFmtId="0" fontId="1" fillId="0" borderId="0" applyAlignment="1" pivotButton="0" quotePrefix="0" xfId="1">
      <alignment horizontal="center" vertical="top" wrapText="1"/>
    </xf>
    <xf numFmtId="0" fontId="23" fillId="0" borderId="0" pivotButton="0" quotePrefix="0" xfId="1"/>
    <xf numFmtId="0" fontId="0" fillId="0" borderId="12" pivotButton="0" quotePrefix="0" xfId="0"/>
  </cellXfs>
  <cellStyles count="2">
    <cellStyle name="Обычный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video-pipeline</author>
  </authors>
  <commentList>
    <comment ref="A33" authorId="0" shapeId="0">
      <text>
        <t>Путь к файлу фоновой музыки. Можно абсолютный (C:\... или /home/...) или относительный от папки проекта (audio/bgm.mp3).
Если пусто — бот ищет data/videos/&lt;slug&gt;/audio/bgm.{mp3,wav}. Если и там нет — финальный ролик собирается без фоновой музыки.
Громкость зафиксирована на -18 dB.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G9" sqref="G9"/>
    </sheetView>
  </sheetViews>
  <sheetFormatPr baseColWidth="8" defaultColWidth="14.42578125" defaultRowHeight="12.75"/>
  <cols>
    <col width="12.5703125" customWidth="1" style="76" min="1" max="6"/>
  </cols>
  <sheetData>
    <row r="1" ht="12.75" customFormat="1" customHeight="1" s="76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2.75" customFormat="1" customHeight="1" s="76">
      <c r="A2" s="3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12.75" customFormat="1" customHeight="1" s="76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.75" customFormat="1" customHeight="1" s="76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12.75" customFormat="1" customHeight="1" s="76">
      <c r="A5" s="3" t="n"/>
      <c r="B5" s="1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25.5" customFormat="1" customHeight="1" s="76">
      <c r="A6" s="3" t="n"/>
      <c r="B6" s="4" t="n"/>
      <c r="C6" s="4" t="n"/>
      <c r="D6" s="4" t="n"/>
      <c r="E6" s="2" t="n"/>
      <c r="F6" s="2" t="n"/>
      <c r="G6" s="2" t="n"/>
      <c r="H6" s="2" t="n"/>
      <c r="I6" s="2" t="n"/>
      <c r="J6" s="2" t="n"/>
      <c r="K6" s="2" t="n"/>
    </row>
    <row r="7" ht="76.5" customFormat="1" customHeight="1" s="76">
      <c r="A7" s="3" t="n"/>
      <c r="B7" s="5" t="n"/>
      <c r="C7" s="5" t="n"/>
      <c r="D7" s="5" t="n"/>
      <c r="E7" s="2" t="n"/>
      <c r="F7" s="2" t="n"/>
      <c r="G7" s="2" t="n"/>
      <c r="H7" s="2" t="n"/>
      <c r="I7" s="2" t="n"/>
      <c r="J7" s="2" t="n"/>
      <c r="K7" s="2" t="n"/>
    </row>
    <row r="8" ht="38.25" customFormat="1" customHeight="1" s="76">
      <c r="A8" s="3" t="n"/>
      <c r="B8" s="5" t="n"/>
      <c r="C8" s="5" t="n"/>
      <c r="D8" s="5" t="n"/>
      <c r="E8" s="2" t="n"/>
      <c r="F8" s="2" t="n"/>
      <c r="G8" s="2" t="n"/>
      <c r="H8" s="2" t="n"/>
      <c r="I8" s="2" t="n"/>
      <c r="J8" s="2" t="n"/>
      <c r="K8" s="2" t="n"/>
    </row>
    <row r="9" ht="51" customFormat="1" customHeight="1" s="76">
      <c r="A9" s="3" t="n"/>
      <c r="B9" s="5" t="n"/>
      <c r="C9" s="5" t="n"/>
      <c r="D9" s="5" t="n"/>
      <c r="E9" s="2" t="n"/>
      <c r="F9" s="2" t="n"/>
      <c r="G9" s="2" t="n"/>
      <c r="H9" s="2" t="n"/>
      <c r="I9" s="2" t="n"/>
      <c r="J9" s="2" t="n"/>
      <c r="K9" s="2" t="n"/>
    </row>
    <row r="10" ht="51" customFormat="1" customHeight="1" s="76">
      <c r="A10" s="3" t="n"/>
      <c r="B10" s="5" t="n"/>
      <c r="C10" s="5" t="n"/>
      <c r="D10" s="5" t="n"/>
      <c r="E10" s="2" t="n"/>
      <c r="F10" s="2" t="n"/>
      <c r="G10" s="2" t="n"/>
      <c r="H10" s="2" t="n"/>
      <c r="I10" s="2" t="n"/>
      <c r="J10" s="2" t="n"/>
      <c r="K10" s="2" t="n"/>
    </row>
    <row r="11" ht="51" customFormat="1" customHeight="1" s="76">
      <c r="A11" s="3" t="n"/>
      <c r="B11" s="5" t="n"/>
      <c r="C11" s="5" t="n"/>
      <c r="D11" s="5" t="n"/>
      <c r="E11" s="2" t="n"/>
      <c r="F11" s="2" t="n"/>
      <c r="G11" s="2" t="n"/>
      <c r="H11" s="2" t="n"/>
      <c r="I11" s="2" t="n"/>
      <c r="J11" s="2" t="n"/>
      <c r="K11" s="2" t="n"/>
    </row>
    <row r="12" ht="51" customFormat="1" customHeight="1" s="76">
      <c r="A12" s="3" t="n"/>
      <c r="B12" s="5" t="n"/>
      <c r="C12" s="5" t="n"/>
      <c r="D12" s="5" t="n"/>
      <c r="E12" s="2" t="n"/>
      <c r="F12" s="2" t="n"/>
      <c r="G12" s="2" t="n"/>
      <c r="H12" s="2" t="n"/>
      <c r="I12" s="2" t="n"/>
      <c r="J12" s="2" t="n"/>
      <c r="K12" s="2" t="n"/>
    </row>
    <row r="13" ht="12.75" customFormat="1" customHeight="1" s="76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 ht="12.75" customFormat="1" customHeight="1" s="76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 ht="23.25" customFormat="1" customHeight="1" s="76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 ht="12.75" customFormat="1" customHeight="1" s="7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 ht="17.25" customFormat="1" customHeight="1" s="76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 ht="12.75" customFormat="1" customHeight="1" s="76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 ht="25.5" customFormat="1" customHeight="1" s="76">
      <c r="A19" s="3" t="n"/>
      <c r="B19" s="4" t="n"/>
      <c r="C19" s="4" t="n"/>
      <c r="D19" s="4" t="n"/>
      <c r="E19" s="2" t="n"/>
      <c r="F19" s="2" t="n"/>
      <c r="G19" s="2" t="n"/>
      <c r="H19" s="2" t="n"/>
      <c r="I19" s="2" t="n"/>
      <c r="J19" s="2" t="n"/>
      <c r="K19" s="2" t="n"/>
    </row>
    <row r="20" ht="76.5" customFormat="1" customHeight="1" s="76">
      <c r="A20" s="3" t="n"/>
      <c r="B20" s="5" t="n"/>
      <c r="C20" s="5" t="n"/>
      <c r="D20" s="5" t="n"/>
      <c r="E20" s="2" t="n"/>
      <c r="F20" s="2" t="n"/>
      <c r="G20" s="2" t="n"/>
      <c r="H20" s="2" t="n"/>
      <c r="I20" s="2" t="n"/>
      <c r="J20" s="2" t="n"/>
      <c r="K20" s="2" t="n"/>
    </row>
    <row r="21" ht="63.75" customFormat="1" customHeight="1" s="76">
      <c r="A21" s="3" t="n"/>
      <c r="B21" s="5" t="n"/>
      <c r="C21" s="5" t="n"/>
      <c r="D21" s="5" t="n"/>
      <c r="E21" s="2" t="n"/>
      <c r="F21" s="2" t="n"/>
      <c r="G21" s="2" t="n"/>
      <c r="H21" s="2" t="n"/>
      <c r="I21" s="2" t="n"/>
      <c r="J21" s="2" t="n"/>
      <c r="K21" s="2" t="n"/>
    </row>
    <row r="22" ht="76.5" customFormat="1" customHeight="1" s="76">
      <c r="A22" s="3" t="n"/>
      <c r="B22" s="5" t="n"/>
      <c r="C22" s="5" t="n"/>
      <c r="D22" s="5" t="n"/>
      <c r="E22" s="2" t="n"/>
      <c r="F22" s="2" t="n"/>
      <c r="G22" s="2" t="n"/>
      <c r="H22" s="2" t="n"/>
      <c r="I22" s="2" t="n"/>
      <c r="J22" s="2" t="n"/>
      <c r="K22" s="2" t="n"/>
    </row>
    <row r="23" ht="63.75" customFormat="1" customHeight="1" s="76">
      <c r="A23" s="3" t="n"/>
      <c r="B23" s="5" t="n"/>
      <c r="C23" s="5" t="n"/>
      <c r="D23" s="5" t="n"/>
      <c r="E23" s="2" t="n"/>
      <c r="F23" s="2" t="n"/>
      <c r="G23" s="2" t="n"/>
      <c r="H23" s="2" t="n"/>
      <c r="I23" s="2" t="n"/>
      <c r="J23" s="2" t="n"/>
      <c r="K23" s="2" t="n"/>
    </row>
    <row r="24" ht="102" customFormat="1" customHeight="1" s="76">
      <c r="A24" s="3" t="n"/>
      <c r="B24" s="5" t="n"/>
      <c r="C24" s="5" t="n"/>
      <c r="D24" s="5" t="n"/>
      <c r="E24" s="2" t="n"/>
      <c r="F24" s="2" t="n"/>
      <c r="G24" s="2" t="n"/>
      <c r="H24" s="2" t="n"/>
      <c r="I24" s="2" t="n"/>
      <c r="J24" s="2" t="n"/>
      <c r="K24" s="2" t="n"/>
    </row>
    <row r="25" ht="38.25" customFormat="1" customHeight="1" s="76">
      <c r="A25" s="3" t="n"/>
      <c r="B25" s="5" t="n"/>
      <c r="C25" s="5" t="n"/>
      <c r="D25" s="5" t="n"/>
      <c r="E25" s="2" t="n"/>
      <c r="F25" s="2" t="n"/>
      <c r="G25" s="2" t="n"/>
      <c r="H25" s="2" t="n"/>
      <c r="I25" s="2" t="n"/>
      <c r="J25" s="2" t="n"/>
      <c r="K25" s="2" t="n"/>
    </row>
    <row r="26" ht="12.75" customFormat="1" customHeight="1" s="7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 ht="17.25" customFormat="1" customHeight="1" s="76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 ht="12.75" customFormat="1" customHeight="1" s="76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 ht="25.5" customFormat="1" customHeight="1" s="76">
      <c r="A29" s="3" t="n"/>
      <c r="B29" s="4" t="n"/>
      <c r="C29" s="4" t="n"/>
      <c r="D29" s="4" t="n"/>
      <c r="E29" s="2" t="n"/>
      <c r="F29" s="2" t="n"/>
      <c r="G29" s="2" t="n"/>
      <c r="H29" s="2" t="n"/>
      <c r="I29" s="2" t="n"/>
      <c r="J29" s="2" t="n"/>
      <c r="K29" s="2" t="n"/>
    </row>
    <row r="30" ht="63.75" customFormat="1" customHeight="1" s="76">
      <c r="A30" s="3" t="n"/>
      <c r="B30" s="5" t="n"/>
      <c r="C30" s="5" t="n"/>
      <c r="D30" s="5" t="n"/>
      <c r="E30" s="2" t="n"/>
      <c r="F30" s="2" t="n"/>
      <c r="G30" s="2" t="n"/>
      <c r="H30" s="2" t="n"/>
      <c r="I30" s="2" t="n"/>
      <c r="J30" s="2" t="n"/>
      <c r="K30" s="2" t="n"/>
    </row>
    <row r="31" ht="76.5" customFormat="1" customHeight="1" s="76">
      <c r="A31" s="3" t="n"/>
      <c r="B31" s="5" t="n"/>
      <c r="C31" s="5" t="n"/>
      <c r="D31" s="5" t="n"/>
      <c r="E31" s="2" t="n"/>
      <c r="F31" s="2" t="n"/>
      <c r="G31" s="2" t="n"/>
      <c r="H31" s="2" t="n"/>
      <c r="I31" s="2" t="n"/>
      <c r="J31" s="2" t="n"/>
      <c r="K31" s="2" t="n"/>
    </row>
    <row r="32" ht="63.75" customFormat="1" customHeight="1" s="76">
      <c r="A32" s="5" t="n"/>
      <c r="B32" s="5" t="n"/>
      <c r="C32" s="5" t="n"/>
      <c r="D32" s="5" t="n"/>
      <c r="E32" s="2" t="n"/>
      <c r="F32" s="2" t="n"/>
      <c r="G32" s="2" t="n"/>
      <c r="H32" s="2" t="n"/>
      <c r="I32" s="2" t="n"/>
      <c r="J32" s="2" t="n"/>
      <c r="K32" s="2" t="n"/>
    </row>
    <row r="33" ht="51" customFormat="1" customHeight="1" s="76">
      <c r="A33" s="5" t="n"/>
      <c r="B33" s="5" t="n"/>
      <c r="C33" s="5" t="n"/>
      <c r="D33" s="5" t="n"/>
      <c r="E33" s="2" t="n"/>
      <c r="F33" s="2" t="n"/>
      <c r="G33" s="2" t="n"/>
      <c r="H33" s="2" t="n"/>
      <c r="I33" s="2" t="n"/>
      <c r="J33" s="2" t="n"/>
      <c r="K33" s="2" t="n"/>
    </row>
    <row r="34" ht="51" customFormat="1" customHeight="1" s="76">
      <c r="A34" s="5" t="n"/>
      <c r="B34" s="5" t="n"/>
      <c r="C34" s="5" t="n"/>
      <c r="D34" s="5" t="n"/>
      <c r="E34" s="2" t="n"/>
      <c r="F34" s="2" t="n"/>
      <c r="G34" s="2" t="n"/>
      <c r="H34" s="2" t="n"/>
      <c r="I34" s="2" t="n"/>
      <c r="J34" s="2" t="n"/>
      <c r="K34" s="2" t="n"/>
    </row>
    <row r="35" ht="76.5" customFormat="1" customHeight="1" s="76">
      <c r="A35" s="5" t="n"/>
      <c r="B35" s="5" t="n"/>
      <c r="C35" s="5" t="n"/>
      <c r="D35" s="5" t="n"/>
      <c r="E35" s="2" t="n"/>
      <c r="F35" s="2" t="n"/>
      <c r="G35" s="2" t="n"/>
      <c r="H35" s="2" t="n"/>
      <c r="I35" s="2" t="n"/>
      <c r="J35" s="2" t="n"/>
      <c r="K35" s="2" t="n"/>
    </row>
    <row r="36" ht="12.75" customFormat="1" customHeight="1" s="76">
      <c r="A36" s="6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 ht="12.75" customFormat="1" customHeight="1" s="76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 ht="17.25" customFormat="1" customHeight="1" s="76">
      <c r="A38" s="7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2.75" customFormat="1" customHeight="1" s="76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 ht="25.5" customFormat="1" customHeight="1" s="76">
      <c r="A40" s="4" t="n"/>
      <c r="B40" s="4" t="n"/>
      <c r="C40" s="4" t="n"/>
      <c r="D40" s="4" t="n"/>
      <c r="E40" s="2" t="n"/>
      <c r="F40" s="2" t="n"/>
      <c r="G40" s="2" t="n"/>
      <c r="H40" s="2" t="n"/>
      <c r="I40" s="2" t="n"/>
      <c r="J40" s="2" t="n"/>
      <c r="K40" s="2" t="n"/>
    </row>
    <row r="41" ht="63.75" customFormat="1" customHeight="1" s="76">
      <c r="A41" s="5" t="n"/>
      <c r="B41" s="5" t="n"/>
      <c r="C41" s="5" t="n"/>
      <c r="D41" s="5" t="n"/>
      <c r="E41" s="2" t="n"/>
      <c r="F41" s="2" t="n"/>
      <c r="G41" s="2" t="n"/>
      <c r="H41" s="2" t="n"/>
      <c r="I41" s="2" t="n"/>
      <c r="J41" s="2" t="n"/>
      <c r="K41" s="2" t="n"/>
    </row>
    <row r="42" ht="51" customFormat="1" customHeight="1" s="76">
      <c r="A42" s="5" t="n"/>
      <c r="B42" s="5" t="n"/>
      <c r="C42" s="5" t="n"/>
      <c r="D42" s="5" t="n"/>
      <c r="E42" s="2" t="n"/>
      <c r="F42" s="2" t="n"/>
      <c r="G42" s="2" t="n"/>
      <c r="H42" s="2" t="n"/>
      <c r="I42" s="2" t="n"/>
      <c r="J42" s="2" t="n"/>
      <c r="K42" s="2" t="n"/>
    </row>
    <row r="43" ht="51" customFormat="1" customHeight="1" s="76">
      <c r="A43" s="5" t="n"/>
      <c r="B43" s="5" t="n"/>
      <c r="C43" s="5" t="n"/>
      <c r="D43" s="5" t="n"/>
      <c r="E43" s="2" t="n"/>
      <c r="F43" s="2" t="n"/>
      <c r="G43" s="2" t="n"/>
      <c r="H43" s="2" t="n"/>
      <c r="I43" s="2" t="n"/>
      <c r="J43" s="2" t="n"/>
      <c r="K43" s="2" t="n"/>
    </row>
    <row r="44" ht="51" customFormat="1" customHeight="1" s="76">
      <c r="A44" s="5" t="n"/>
      <c r="B44" s="5" t="n"/>
      <c r="C44" s="5" t="n"/>
      <c r="D44" s="5" t="n"/>
      <c r="E44" s="2" t="n"/>
      <c r="F44" s="2" t="n"/>
      <c r="G44" s="2" t="n"/>
      <c r="H44" s="2" t="n"/>
      <c r="I44" s="2" t="n"/>
      <c r="J44" s="2" t="n"/>
      <c r="K44" s="2" t="n"/>
    </row>
    <row r="45" ht="12.75" customFormat="1" customHeight="1" s="76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12.75" customFormat="1" customHeight="1" s="7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23.25" customFormat="1" customHeight="1" s="76">
      <c r="A47" s="8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12.75" customFormat="1" customHeight="1" s="76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17.25" customFormat="1" customHeight="1" s="76">
      <c r="A49" s="7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 ht="12.75" customFormat="1" customHeight="1" s="76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 ht="25.5" customFormat="1" customHeight="1" s="76">
      <c r="A51" s="4" t="n"/>
      <c r="B51" s="4" t="n"/>
      <c r="C51" s="4" t="n"/>
      <c r="D51" s="4" t="n"/>
      <c r="E51" s="2" t="n"/>
      <c r="F51" s="2" t="n"/>
      <c r="G51" s="2" t="n"/>
      <c r="H51" s="2" t="n"/>
      <c r="I51" s="2" t="n"/>
      <c r="J51" s="2" t="n"/>
      <c r="K51" s="2" t="n"/>
    </row>
    <row r="52" ht="38.25" customFormat="1" customHeight="1" s="76">
      <c r="A52" s="5" t="n"/>
      <c r="B52" s="5" t="n"/>
      <c r="C52" s="5" t="n"/>
      <c r="D52" s="5" t="n"/>
      <c r="E52" s="2" t="n"/>
      <c r="F52" s="2" t="n"/>
      <c r="G52" s="2" t="n"/>
      <c r="H52" s="2" t="n"/>
      <c r="I52" s="2" t="n"/>
      <c r="J52" s="2" t="n"/>
      <c r="K52" s="2" t="n"/>
    </row>
    <row r="53" ht="38.25" customFormat="1" customHeight="1" s="76">
      <c r="A53" s="5" t="n"/>
      <c r="B53" s="5" t="n"/>
      <c r="C53" s="5" t="n"/>
      <c r="D53" s="5" t="n"/>
      <c r="E53" s="2" t="n"/>
      <c r="F53" s="2" t="n"/>
      <c r="G53" s="2" t="n"/>
      <c r="H53" s="2" t="n"/>
      <c r="I53" s="2" t="n"/>
      <c r="J53" s="2" t="n"/>
      <c r="K53" s="2" t="n"/>
    </row>
    <row r="54" ht="38.25" customFormat="1" customHeight="1" s="76">
      <c r="A54" s="5" t="n"/>
      <c r="B54" s="5" t="n"/>
      <c r="C54" s="5" t="n"/>
      <c r="D54" s="5" t="n"/>
      <c r="E54" s="2" t="n"/>
      <c r="F54" s="2" t="n"/>
      <c r="G54" s="2" t="n"/>
      <c r="H54" s="2" t="n"/>
      <c r="I54" s="2" t="n"/>
      <c r="J54" s="2" t="n"/>
      <c r="K54" s="2" t="n"/>
    </row>
    <row r="55" ht="51" customFormat="1" customHeight="1" s="76">
      <c r="A55" s="5" t="n"/>
      <c r="B55" s="5" t="n"/>
      <c r="C55" s="5" t="n"/>
      <c r="D55" s="5" t="n"/>
      <c r="E55" s="2" t="n"/>
      <c r="F55" s="2" t="n"/>
      <c r="G55" s="2" t="n"/>
      <c r="H55" s="2" t="n"/>
      <c r="I55" s="2" t="n"/>
      <c r="J55" s="2" t="n"/>
      <c r="K55" s="2" t="n"/>
    </row>
    <row r="56" ht="38.25" customFormat="1" customHeight="1" s="76">
      <c r="A56" s="5" t="n"/>
      <c r="B56" s="5" t="n"/>
      <c r="C56" s="5" t="n"/>
      <c r="D56" s="5" t="n"/>
      <c r="E56" s="2" t="n"/>
      <c r="F56" s="2" t="n"/>
      <c r="G56" s="2" t="n"/>
      <c r="H56" s="2" t="n"/>
      <c r="I56" s="2" t="n"/>
      <c r="J56" s="2" t="n"/>
      <c r="K56" s="2" t="n"/>
    </row>
    <row r="57" ht="51" customFormat="1" customHeight="1" s="76">
      <c r="A57" s="5" t="n"/>
      <c r="B57" s="5" t="n"/>
      <c r="C57" s="5" t="n"/>
      <c r="D57" s="5" t="n"/>
      <c r="E57" s="2" t="n"/>
      <c r="F57" s="2" t="n"/>
      <c r="G57" s="2" t="n"/>
      <c r="H57" s="2" t="n"/>
      <c r="I57" s="2" t="n"/>
      <c r="J57" s="2" t="n"/>
      <c r="K57" s="2" t="n"/>
    </row>
    <row r="58" ht="38.25" customFormat="1" customHeight="1" s="76">
      <c r="A58" s="5" t="n"/>
      <c r="B58" s="5" t="n"/>
      <c r="C58" s="5" t="n"/>
      <c r="D58" s="5" t="n"/>
      <c r="E58" s="2" t="n"/>
      <c r="F58" s="2" t="n"/>
      <c r="G58" s="2" t="n"/>
      <c r="H58" s="2" t="n"/>
      <c r="I58" s="2" t="n"/>
      <c r="J58" s="2" t="n"/>
      <c r="K58" s="2" t="n"/>
    </row>
    <row r="59" ht="38.25" customFormat="1" customHeight="1" s="76">
      <c r="A59" s="5" t="n"/>
      <c r="B59" s="5" t="n"/>
      <c r="C59" s="5" t="n"/>
      <c r="D59" s="5" t="n"/>
      <c r="E59" s="2" t="n"/>
      <c r="F59" s="2" t="n"/>
      <c r="G59" s="2" t="n"/>
      <c r="H59" s="2" t="n"/>
      <c r="I59" s="2" t="n"/>
      <c r="J59" s="2" t="n"/>
      <c r="K59" s="2" t="n"/>
    </row>
    <row r="60" ht="63.75" customFormat="1" customHeight="1" s="76">
      <c r="A60" s="5" t="n"/>
      <c r="B60" s="5" t="n"/>
      <c r="C60" s="5" t="n"/>
      <c r="D60" s="5" t="n"/>
      <c r="E60" s="2" t="n"/>
      <c r="F60" s="2" t="n"/>
      <c r="G60" s="2" t="n"/>
      <c r="H60" s="2" t="n"/>
      <c r="I60" s="2" t="n"/>
      <c r="J60" s="2" t="n"/>
      <c r="K60" s="2" t="n"/>
    </row>
    <row r="61" ht="63.75" customFormat="1" customHeight="1" s="76">
      <c r="A61" s="5" t="n"/>
      <c r="B61" s="5" t="n"/>
      <c r="C61" s="5" t="n"/>
      <c r="D61" s="5" t="n"/>
      <c r="E61" s="2" t="n"/>
      <c r="F61" s="2" t="n"/>
      <c r="G61" s="2" t="n"/>
      <c r="H61" s="2" t="n"/>
      <c r="I61" s="2" t="n"/>
      <c r="J61" s="2" t="n"/>
      <c r="K61" s="2" t="n"/>
    </row>
    <row r="62" ht="12.75" customFormat="1" customHeight="1" s="76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17.25" customFormat="1" customHeight="1" s="76">
      <c r="A63" s="7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15.75" customFormat="1" customHeight="1" s="76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15.75" customFormat="1" customHeight="1" s="76">
      <c r="A65" s="4" t="n"/>
      <c r="B65" s="4" t="n"/>
      <c r="C65" s="4" t="n"/>
      <c r="D65" s="4" t="n"/>
      <c r="E65" s="2" t="n"/>
      <c r="F65" s="2" t="n"/>
      <c r="G65" s="2" t="n"/>
      <c r="H65" s="2" t="n"/>
      <c r="I65" s="2" t="n"/>
      <c r="J65" s="2" t="n"/>
      <c r="K65" s="2" t="n"/>
    </row>
    <row r="66" ht="15.75" customFormat="1" customHeight="1" s="76">
      <c r="A66" s="5" t="n"/>
      <c r="B66" s="5" t="n"/>
      <c r="C66" s="5" t="n"/>
      <c r="D66" s="5" t="n"/>
      <c r="E66" s="2" t="n"/>
      <c r="F66" s="2" t="n"/>
      <c r="G66" s="2" t="n"/>
      <c r="H66" s="2" t="n"/>
      <c r="I66" s="2" t="n"/>
      <c r="J66" s="2" t="n"/>
      <c r="K66" s="2" t="n"/>
    </row>
    <row r="67" ht="15.75" customFormat="1" customHeight="1" s="76">
      <c r="A67" s="5" t="n"/>
      <c r="B67" s="5" t="n"/>
      <c r="C67" s="5" t="n"/>
      <c r="D67" s="5" t="n"/>
      <c r="E67" s="2" t="n"/>
      <c r="F67" s="2" t="n"/>
      <c r="G67" s="2" t="n"/>
      <c r="H67" s="2" t="n"/>
      <c r="I67" s="2" t="n"/>
      <c r="J67" s="2" t="n"/>
      <c r="K67" s="2" t="n"/>
    </row>
    <row r="68" ht="15.75" customFormat="1" customHeight="1" s="76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15.75" customFormat="1" customHeight="1" s="76">
      <c r="A69" s="7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15.75" customFormat="1" customHeight="1" s="76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15.75" customFormat="1" customHeight="1" s="76">
      <c r="A71" s="4" t="n"/>
      <c r="B71" s="4" t="n"/>
      <c r="C71" s="4" t="n"/>
      <c r="D71" s="4" t="n"/>
      <c r="E71" s="2" t="n"/>
      <c r="F71" s="2" t="n"/>
      <c r="G71" s="2" t="n"/>
      <c r="H71" s="2" t="n"/>
      <c r="I71" s="2" t="n"/>
      <c r="J71" s="2" t="n"/>
      <c r="K71" s="2" t="n"/>
    </row>
    <row r="72" ht="63.75" customFormat="1" customHeight="1" s="76">
      <c r="A72" s="5" t="n"/>
      <c r="B72" s="5" t="n"/>
      <c r="C72" s="5" t="n"/>
      <c r="D72" s="5" t="n"/>
      <c r="E72" s="2" t="n"/>
      <c r="F72" s="2" t="n"/>
      <c r="G72" s="2" t="n"/>
      <c r="H72" s="2" t="n"/>
      <c r="I72" s="2" t="n"/>
      <c r="J72" s="2" t="n"/>
      <c r="K72" s="2" t="n"/>
    </row>
    <row r="73" ht="25.5" customFormat="1" customHeight="1" s="76">
      <c r="A73" s="5" t="n"/>
      <c r="B73" s="5" t="n"/>
      <c r="C73" s="5" t="n"/>
      <c r="D73" s="5" t="n"/>
      <c r="E73" s="2" t="n"/>
      <c r="F73" s="2" t="n"/>
      <c r="G73" s="2" t="n"/>
      <c r="H73" s="2" t="n"/>
      <c r="I73" s="2" t="n"/>
      <c r="J73" s="2" t="n"/>
      <c r="K73" s="2" t="n"/>
    </row>
    <row r="74" ht="12.75" customFormat="1" customHeight="1" s="76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12.75" customFormat="1" customHeight="1" s="76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23.25" customFormat="1" customHeight="1" s="76">
      <c r="A76" s="8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 ht="12.75" customFormat="1" customHeight="1" s="76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 ht="17.25" customFormat="1" customHeight="1" s="76">
      <c r="A78" s="7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 ht="12.75" customFormat="1" customHeight="1" s="76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 ht="15.75" customFormat="1" customHeight="1" s="76">
      <c r="A80" s="4" t="n"/>
      <c r="B80" s="4" t="n"/>
      <c r="C80" s="4" t="n"/>
      <c r="D80" s="4" t="n"/>
      <c r="E80" s="2" t="n"/>
      <c r="F80" s="2" t="n"/>
      <c r="G80" s="2" t="n"/>
      <c r="H80" s="2" t="n"/>
      <c r="I80" s="2" t="n"/>
      <c r="J80" s="2" t="n"/>
      <c r="K80" s="2" t="n"/>
    </row>
    <row r="81" ht="15.75" customFormat="1" customHeight="1" s="76">
      <c r="A81" s="5" t="n"/>
      <c r="B81" s="5" t="n"/>
      <c r="C81" s="5" t="n"/>
      <c r="D81" s="5" t="n"/>
      <c r="E81" s="2" t="n"/>
      <c r="F81" s="2" t="n"/>
      <c r="G81" s="2" t="n"/>
      <c r="H81" s="2" t="n"/>
      <c r="I81" s="2" t="n"/>
      <c r="J81" s="2" t="n"/>
      <c r="K81" s="2" t="n"/>
    </row>
    <row r="82" ht="15.75" customFormat="1" customHeight="1" s="76">
      <c r="A82" s="5" t="n"/>
      <c r="B82" s="5" t="n"/>
      <c r="C82" s="5" t="n"/>
      <c r="D82" s="5" t="n"/>
      <c r="E82" s="2" t="n"/>
      <c r="F82" s="2" t="n"/>
      <c r="G82" s="2" t="n"/>
      <c r="H82" s="2" t="n"/>
      <c r="I82" s="2" t="n"/>
      <c r="J82" s="2" t="n"/>
      <c r="K82" s="2" t="n"/>
    </row>
    <row r="83" ht="15.75" customFormat="1" customHeight="1" s="76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 ht="15.75" customFormat="1" customHeight="1" s="76">
      <c r="A84" s="7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 ht="15.75" customFormat="1" customHeight="1" s="76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 ht="15.75" customFormat="1" customHeight="1" s="76">
      <c r="A86" s="4" t="n"/>
      <c r="B86" s="4" t="n"/>
      <c r="C86" s="4" t="n"/>
      <c r="D86" s="4" t="n"/>
      <c r="E86" s="2" t="n"/>
      <c r="F86" s="2" t="n"/>
      <c r="G86" s="2" t="n"/>
      <c r="H86" s="2" t="n"/>
      <c r="I86" s="2" t="n"/>
      <c r="J86" s="2" t="n"/>
      <c r="K86" s="2" t="n"/>
    </row>
    <row r="87" ht="15.75" customFormat="1" customHeight="1" s="76">
      <c r="A87" s="5" t="n"/>
      <c r="B87" s="5" t="n"/>
      <c r="C87" s="5" t="n"/>
      <c r="D87" s="5" t="n"/>
      <c r="E87" s="2" t="n"/>
      <c r="F87" s="2" t="n"/>
      <c r="G87" s="2" t="n"/>
      <c r="H87" s="2" t="n"/>
      <c r="I87" s="2" t="n"/>
      <c r="J87" s="2" t="n"/>
      <c r="K87" s="2" t="n"/>
    </row>
    <row r="88" ht="15.75" customFormat="1" customHeight="1" s="76">
      <c r="A88" s="5" t="n"/>
      <c r="B88" s="5" t="n"/>
      <c r="C88" s="5" t="n"/>
      <c r="D88" s="5" t="n"/>
      <c r="E88" s="2" t="n"/>
      <c r="F88" s="2" t="n"/>
      <c r="G88" s="2" t="n"/>
      <c r="H88" s="2" t="n"/>
      <c r="I88" s="2" t="n"/>
      <c r="J88" s="2" t="n"/>
      <c r="K88" s="2" t="n"/>
    </row>
    <row r="89" ht="15.75" customFormat="1" customHeight="1" s="76">
      <c r="A89" s="5" t="n"/>
      <c r="B89" s="5" t="n"/>
      <c r="C89" s="5" t="n"/>
      <c r="D89" s="5" t="n"/>
      <c r="E89" s="2" t="n"/>
      <c r="F89" s="2" t="n"/>
      <c r="G89" s="2" t="n"/>
      <c r="H89" s="2" t="n"/>
      <c r="I89" s="2" t="n"/>
      <c r="J89" s="2" t="n"/>
      <c r="K89" s="2" t="n"/>
    </row>
    <row r="90" ht="15.75" customFormat="1" customHeight="1" s="76">
      <c r="A90" s="5" t="n"/>
      <c r="B90" s="5" t="n"/>
      <c r="C90" s="5" t="n"/>
      <c r="D90" s="5" t="n"/>
      <c r="E90" s="2" t="n"/>
      <c r="F90" s="2" t="n"/>
      <c r="G90" s="2" t="n"/>
      <c r="H90" s="2" t="n"/>
      <c r="I90" s="2" t="n"/>
      <c r="J90" s="2" t="n"/>
      <c r="K90" s="2" t="n"/>
    </row>
    <row r="91" ht="15.75" customFormat="1" customHeight="1" s="76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 ht="15.75" customFormat="1" customHeight="1" s="76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 ht="15.75" customFormat="1" customHeight="1" s="76">
      <c r="A93" s="8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 ht="15.75" customFormat="1" customHeight="1" s="76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 ht="15.75" customFormat="1" customHeight="1" s="76">
      <c r="A95" s="4" t="n"/>
      <c r="B95" s="4" t="n"/>
      <c r="C95" s="4" t="n"/>
      <c r="D95" s="4" t="n"/>
      <c r="E95" s="2" t="n"/>
      <c r="F95" s="2" t="n"/>
      <c r="G95" s="2" t="n"/>
      <c r="H95" s="2" t="n"/>
      <c r="I95" s="2" t="n"/>
      <c r="J95" s="2" t="n"/>
      <c r="K95" s="2" t="n"/>
    </row>
    <row r="96" ht="15.75" customFormat="1" customHeight="1" s="76">
      <c r="A96" s="5" t="n"/>
      <c r="B96" s="5" t="n"/>
      <c r="C96" s="5" t="n"/>
      <c r="D96" s="5" t="n"/>
      <c r="E96" s="2" t="n"/>
      <c r="F96" s="2" t="n"/>
      <c r="G96" s="2" t="n"/>
      <c r="H96" s="2" t="n"/>
      <c r="I96" s="2" t="n"/>
      <c r="J96" s="2" t="n"/>
      <c r="K96" s="2" t="n"/>
    </row>
    <row r="97" ht="15.75" customFormat="1" customHeight="1" s="76">
      <c r="A97" s="5" t="n"/>
      <c r="B97" s="5" t="n"/>
      <c r="C97" s="5" t="n"/>
      <c r="D97" s="5" t="n"/>
      <c r="E97" s="2" t="n"/>
      <c r="F97" s="2" t="n"/>
      <c r="G97" s="2" t="n"/>
      <c r="H97" s="2" t="n"/>
      <c r="I97" s="2" t="n"/>
      <c r="J97" s="2" t="n"/>
      <c r="K97" s="2" t="n"/>
    </row>
    <row r="98" ht="15.75" customFormat="1" customHeight="1" s="76">
      <c r="A98" s="5" t="n"/>
      <c r="B98" s="5" t="n"/>
      <c r="C98" s="5" t="n"/>
      <c r="D98" s="5" t="n"/>
      <c r="E98" s="2" t="n"/>
      <c r="F98" s="2" t="n"/>
      <c r="G98" s="2" t="n"/>
      <c r="H98" s="2" t="n"/>
      <c r="I98" s="2" t="n"/>
      <c r="J98" s="2" t="n"/>
      <c r="K98" s="2" t="n"/>
    </row>
    <row r="99" ht="15.75" customFormat="1" customHeight="1" s="76">
      <c r="A99" s="5" t="n"/>
      <c r="B99" s="5" t="n"/>
      <c r="C99" s="5" t="n"/>
      <c r="D99" s="5" t="n"/>
      <c r="E99" s="2" t="n"/>
      <c r="F99" s="2" t="n"/>
      <c r="G99" s="2" t="n"/>
      <c r="H99" s="2" t="n"/>
      <c r="I99" s="2" t="n"/>
      <c r="J99" s="2" t="n"/>
      <c r="K99" s="2" t="n"/>
    </row>
    <row r="100" ht="15.75" customFormat="1" customHeight="1" s="76">
      <c r="A100" s="5" t="n"/>
      <c r="B100" s="5" t="n"/>
      <c r="C100" s="5" t="n"/>
      <c r="D100" s="5" t="n"/>
      <c r="E100" s="2" t="n"/>
      <c r="F100" s="2" t="n"/>
      <c r="G100" s="2" t="n"/>
      <c r="H100" s="2" t="n"/>
      <c r="I100" s="2" t="n"/>
      <c r="J100" s="2" t="n"/>
      <c r="K100" s="2" t="n"/>
    </row>
    <row r="101" ht="15.75" customFormat="1" customHeight="1" s="76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 ht="15.75" customFormat="1" customHeight="1" s="76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 ht="15.75" customFormat="1" customHeight="1" s="76">
      <c r="A103" s="8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 ht="15.75" customFormat="1" customHeight="1" s="76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 ht="15.75" customFormat="1" customHeight="1" s="76">
      <c r="A105" s="4" t="n"/>
      <c r="B105" s="4" t="n"/>
      <c r="C105" s="4" t="n"/>
      <c r="D105" s="4" t="n"/>
      <c r="E105" s="2" t="n"/>
      <c r="F105" s="2" t="n"/>
      <c r="G105" s="2" t="n"/>
      <c r="H105" s="2" t="n"/>
      <c r="I105" s="2" t="n"/>
      <c r="J105" s="2" t="n"/>
      <c r="K105" s="2" t="n"/>
    </row>
    <row r="106" ht="15.75" customFormat="1" customHeight="1" s="76">
      <c r="A106" s="5" t="n"/>
      <c r="B106" s="5" t="n"/>
      <c r="C106" s="5" t="n"/>
      <c r="D106" s="5" t="n"/>
      <c r="E106" s="2" t="n"/>
      <c r="F106" s="2" t="n"/>
      <c r="G106" s="2" t="n"/>
      <c r="H106" s="2" t="n"/>
      <c r="I106" s="2" t="n"/>
      <c r="J106" s="2" t="n"/>
      <c r="K106" s="2" t="n"/>
    </row>
    <row r="107" ht="38.25" customFormat="1" customHeight="1" s="76">
      <c r="A107" s="5" t="n"/>
      <c r="B107" s="5" t="n"/>
      <c r="C107" s="5" t="n"/>
      <c r="D107" s="5" t="n"/>
      <c r="E107" s="2" t="n"/>
      <c r="F107" s="2" t="n"/>
      <c r="G107" s="2" t="n"/>
      <c r="H107" s="2" t="n"/>
      <c r="I107" s="2" t="n"/>
      <c r="J107" s="2" t="n"/>
      <c r="K107" s="2" t="n"/>
    </row>
    <row r="108" ht="51" customFormat="1" customHeight="1" s="76">
      <c r="A108" s="5" t="n"/>
      <c r="B108" s="5" t="n"/>
      <c r="C108" s="5" t="n"/>
      <c r="D108" s="5" t="n"/>
      <c r="E108" s="2" t="n"/>
      <c r="F108" s="2" t="n"/>
      <c r="G108" s="2" t="n"/>
      <c r="H108" s="2" t="n"/>
      <c r="I108" s="2" t="n"/>
      <c r="J108" s="2" t="n"/>
      <c r="K108" s="2" t="n"/>
    </row>
    <row r="109" ht="38.25" customFormat="1" customHeight="1" s="76">
      <c r="A109" s="5" t="n"/>
      <c r="B109" s="5" t="n"/>
      <c r="C109" s="5" t="n"/>
      <c r="D109" s="5" t="n"/>
      <c r="E109" s="2" t="n"/>
      <c r="F109" s="2" t="n"/>
      <c r="G109" s="2" t="n"/>
      <c r="H109" s="2" t="n"/>
      <c r="I109" s="2" t="n"/>
      <c r="J109" s="2" t="n"/>
      <c r="K109" s="2" t="n"/>
    </row>
    <row r="110" ht="12.75" customFormat="1" customHeight="1" s="76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 ht="12.75" customFormat="1" customHeight="1" s="76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 ht="23.25" customFormat="1" customHeight="1" s="76">
      <c r="A112" s="8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 ht="12.75" customFormat="1" customHeight="1" s="76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 ht="12.75" customFormat="1" customHeight="1" s="76">
      <c r="A114" s="4" t="n"/>
      <c r="B114" s="4" t="n"/>
      <c r="C114" s="4" t="n"/>
      <c r="D114" s="4" t="n"/>
      <c r="E114" s="2" t="n"/>
      <c r="F114" s="2" t="n"/>
      <c r="G114" s="2" t="n"/>
      <c r="H114" s="2" t="n"/>
      <c r="I114" s="2" t="n"/>
      <c r="J114" s="2" t="n"/>
      <c r="K114" s="2" t="n"/>
    </row>
    <row r="115" ht="12.75" customFormat="1" customHeight="1" s="76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 ht="12.75" customFormat="1" customHeight="1" s="7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 ht="12.75" customFormat="1" customHeight="1" s="76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 ht="12.75" customFormat="1" customHeight="1" s="7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 ht="12.75" customFormat="1" customHeight="1" s="76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 ht="12.75" customFormat="1" customHeight="1" s="76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 ht="12.75" customFormat="1" customHeight="1" s="7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 ht="12.75" customFormat="1" customHeight="1" s="7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 ht="12.75" customFormat="1" customHeight="1" s="76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 ht="12.75" customFormat="1" customHeight="1" s="76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 ht="12.75" customFormat="1" customHeight="1" s="7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 ht="12.75" customFormat="1" customHeight="1" s="7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 ht="12.75" customFormat="1" customHeight="1" s="7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 ht="12.75" customFormat="1" customHeight="1" s="7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 ht="12.75" customFormat="1" customHeight="1" s="7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 ht="12.75" customFormat="1" customHeight="1" s="7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 ht="12.75" customFormat="1" customHeight="1" s="7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 ht="12.75" customFormat="1" customHeight="1" s="7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 ht="12.75" customFormat="1" customHeight="1" s="7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 ht="12.75" customFormat="1" customHeight="1" s="7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 ht="12.75" customFormat="1" customHeight="1" s="7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 ht="12.75" customFormat="1" customHeight="1" s="7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 ht="12.75" customFormat="1" customHeight="1" s="7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 ht="12.75" customFormat="1" customHeight="1" s="7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 ht="12.75" customFormat="1" customHeight="1" s="7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 ht="12.75" customFormat="1" customHeight="1" s="7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 ht="12.75" customFormat="1" customHeight="1" s="7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 ht="12.75" customFormat="1" customHeight="1" s="7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 ht="12.75" customFormat="1" customHeight="1" s="7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 ht="12.75" customFormat="1" customHeight="1" s="7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 ht="12.75" customFormat="1" customHeight="1" s="7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 ht="12.75" customFormat="1" customHeight="1" s="7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 ht="12.75" customFormat="1" customHeight="1" s="7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 ht="12.75" customFormat="1" customHeight="1" s="7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 ht="12.75" customFormat="1" customHeight="1" s="7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 ht="12.75" customFormat="1" customHeight="1" s="7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 ht="12.75" customFormat="1" customHeight="1" s="7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 ht="12.75" customFormat="1" customHeight="1" s="7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 ht="12.75" customFormat="1" customHeight="1" s="7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 ht="12.75" customFormat="1" customHeight="1" s="7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 ht="12.75" customFormat="1" customHeight="1" s="7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 ht="12.75" customFormat="1" customHeight="1" s="7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 ht="12.75" customFormat="1" customHeight="1" s="7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 ht="12.75" customFormat="1" customHeight="1" s="7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 ht="12.75" customFormat="1" customHeight="1" s="7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 ht="12.75" customFormat="1" customHeight="1" s="7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 ht="12.75" customFormat="1" customHeight="1" s="7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 ht="12.75" customFormat="1" customHeight="1" s="7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 ht="12.75" customFormat="1" customHeight="1" s="7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 ht="12.75" customFormat="1" customHeight="1" s="7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 ht="12.75" customFormat="1" customHeight="1" s="7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 ht="12.75" customFormat="1" customHeight="1" s="7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 ht="12.75" customFormat="1" customHeight="1" s="7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 ht="12.75" customFormat="1" customHeight="1" s="7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 ht="12.75" customFormat="1" customHeight="1" s="7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 ht="12.75" customFormat="1" customHeight="1" s="7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 ht="12.75" customFormat="1" customHeight="1" s="7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 ht="12.75" customFormat="1" customHeight="1" s="7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 ht="12.75" customFormat="1" customHeight="1" s="7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 ht="12.75" customFormat="1" customHeight="1" s="7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 ht="12.75" customFormat="1" customHeight="1" s="7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 ht="12.75" customFormat="1" customHeight="1" s="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 ht="12.75" customFormat="1" customHeight="1" s="7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 ht="12.75" customFormat="1" customHeight="1" s="7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 ht="12.75" customFormat="1" customHeight="1" s="7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 ht="12.75" customFormat="1" customHeight="1" s="7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 ht="12.75" customFormat="1" customHeight="1" s="7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 ht="12.75" customFormat="1" customHeight="1" s="7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 ht="12.75" customFormat="1" customHeight="1" s="7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 ht="12.75" customFormat="1" customHeight="1" s="7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 ht="12.75" customFormat="1" customHeight="1" s="7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 ht="12.75" customFormat="1" customHeight="1" s="7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 ht="12.75" customFormat="1" customHeight="1" s="7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 ht="12.75" customFormat="1" customHeight="1" s="7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 ht="12.75" customFormat="1" customHeight="1" s="7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 ht="12.75" customFormat="1" customHeight="1" s="7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 ht="12.75" customFormat="1" customHeight="1" s="7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 ht="12.75" customFormat="1" customHeight="1" s="7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 ht="12.75" customFormat="1" customHeight="1" s="7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 ht="12.75" customFormat="1" customHeight="1" s="7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 ht="12.75" customFormat="1" customHeight="1" s="7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 ht="12.75" customFormat="1" customHeight="1" s="7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 ht="12.75" customFormat="1" customHeight="1" s="7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 ht="12.75" customFormat="1" customHeight="1" s="7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 ht="12.75" customFormat="1" customHeight="1" s="7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 ht="12.75" customFormat="1" customHeight="1" s="7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 ht="12.75" customFormat="1" customHeight="1" s="7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 ht="12.75" customFormat="1" customHeight="1" s="7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 ht="12.75" customFormat="1" customHeight="1" s="7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 ht="12.75" customFormat="1" customHeight="1" s="7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 ht="12.75" customFormat="1" customHeight="1" s="7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 ht="12.75" customFormat="1" customHeight="1" s="7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 ht="12.75" customFormat="1" customHeight="1" s="7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 ht="12.75" customFormat="1" customHeight="1" s="7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 ht="12.75" customFormat="1" customHeight="1" s="7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 ht="12.75" customFormat="1" customHeight="1" s="7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 ht="12.75" customFormat="1" customHeight="1" s="7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 ht="12.75" customFormat="1" customHeight="1" s="7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 ht="12.75" customFormat="1" customHeight="1" s="7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 ht="12.75" customFormat="1" customHeight="1" s="7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 ht="12.75" customFormat="1" customHeight="1" s="7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 ht="12.75" customFormat="1" customHeight="1" s="7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 ht="12.75" customFormat="1" customHeight="1" s="7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 ht="12.75" customFormat="1" customHeight="1" s="7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 ht="12.75" customFormat="1" customHeight="1" s="7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 ht="12.75" customFormat="1" customHeight="1" s="7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 ht="12.75" customFormat="1" customHeight="1" s="7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2.75" customFormat="1" customHeight="1" s="7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2.75" customFormat="1" customHeight="1" s="7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2.75" customFormat="1" customHeight="1" s="7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2.75" customFormat="1" customHeight="1" s="7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2.75" customFormat="1" customHeight="1" s="7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2.75" customFormat="1" customHeight="1" s="7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2.75" customFormat="1" customHeight="1" s="7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2.75" customFormat="1" customHeight="1" s="7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2.75" customFormat="1" customHeight="1" s="7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2.75" customFormat="1" customHeight="1" s="7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2.75" customFormat="1" customHeight="1" s="7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2.75" customFormat="1" customHeight="1" s="7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2.75" customFormat="1" customHeight="1" s="7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2.75" customFormat="1" customHeight="1" s="7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2.75" customFormat="1" customHeight="1" s="7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2.75" customFormat="1" customHeight="1" s="7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2.75" customFormat="1" customHeight="1" s="7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2.75" customFormat="1" customHeight="1" s="7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2.75" customFormat="1" customHeight="1" s="7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2.75" customFormat="1" customHeight="1" s="7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2.75" customFormat="1" customHeight="1" s="7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2.75" customFormat="1" customHeight="1" s="7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2.75" customFormat="1" customHeight="1" s="7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2.75" customFormat="1" customHeight="1" s="7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2.75" customFormat="1" customHeight="1" s="7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2.75" customFormat="1" customHeight="1" s="7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2.75" customFormat="1" customHeight="1" s="7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2.75" customFormat="1" customHeight="1" s="7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2.75" customFormat="1" customHeight="1" s="7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2.75" customFormat="1" customHeight="1" s="7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2.75" customFormat="1" customHeight="1" s="7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2.75" customFormat="1" customHeight="1" s="7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2.75" customFormat="1" customHeight="1" s="7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2.75" customFormat="1" customHeight="1" s="7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2.75" customFormat="1" customHeight="1" s="7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2.75" customFormat="1" customHeight="1" s="7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2.75" customFormat="1" customHeight="1" s="7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2.75" customFormat="1" customHeight="1" s="7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2.75" customFormat="1" customHeight="1" s="7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2.75" customFormat="1" customHeight="1" s="7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2.75" customFormat="1" customHeight="1" s="7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2.75" customFormat="1" customHeight="1" s="7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2.75" customFormat="1" customHeight="1" s="7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2.75" customFormat="1" customHeight="1" s="7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2.75" customFormat="1" customHeight="1" s="7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2.75" customFormat="1" customHeight="1" s="7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2.75" customFormat="1" customHeight="1" s="7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2.75" customFormat="1" customHeight="1" s="7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2.75" customFormat="1" customHeight="1" s="7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2.75" customFormat="1" customHeight="1" s="7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2.75" customFormat="1" customHeight="1" s="7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2.75" customFormat="1" customHeight="1" s="7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2.75" customFormat="1" customHeight="1" s="7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2.75" customFormat="1" customHeight="1" s="7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2.75" customFormat="1" customHeight="1" s="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2.75" customFormat="1" customHeight="1" s="7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2.75" customFormat="1" customHeight="1" s="7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2.75" customFormat="1" customHeight="1" s="7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2.75" customFormat="1" customHeight="1" s="7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2.75" customFormat="1" customHeight="1" s="7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2.75" customFormat="1" customHeight="1" s="7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2.75" customFormat="1" customHeight="1" s="7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2.75" customFormat="1" customHeight="1" s="7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2.75" customFormat="1" customHeight="1" s="7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2.75" customFormat="1" customHeight="1" s="7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2.75" customFormat="1" customHeight="1" s="7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2.75" customFormat="1" customHeight="1" s="7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2.75" customFormat="1" customHeight="1" s="7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2.75" customFormat="1" customHeight="1" s="7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2.75" customFormat="1" customHeight="1" s="7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2.75" customFormat="1" customHeight="1" s="7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2.75" customFormat="1" customHeight="1" s="7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2.75" customFormat="1" customHeight="1" s="7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2.75" customFormat="1" customHeight="1" s="7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2.75" customFormat="1" customHeight="1" s="7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2.75" customFormat="1" customHeight="1" s="7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2.75" customFormat="1" customHeight="1" s="7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2.75" customFormat="1" customHeight="1" s="7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2.75" customFormat="1" customHeight="1" s="7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2.75" customFormat="1" customHeight="1" s="7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2.75" customFormat="1" customHeight="1" s="7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2.75" customFormat="1" customHeight="1" s="7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2.75" customFormat="1" customHeight="1" s="7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2.75" customFormat="1" customHeight="1" s="7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2.75" customFormat="1" customHeight="1" s="7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2.75" customFormat="1" customHeight="1" s="7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2.75" customFormat="1" customHeight="1" s="7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2.75" customFormat="1" customHeight="1" s="7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2.75" customFormat="1" customHeight="1" s="7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2.75" customFormat="1" customHeight="1" s="7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2.75" customFormat="1" customHeight="1" s="7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2.75" customFormat="1" customHeight="1" s="7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2.75" customFormat="1" customHeight="1" s="7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2.75" customFormat="1" customHeight="1" s="7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2.75" customFormat="1" customHeight="1" s="7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2.75" customFormat="1" customHeight="1" s="7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2.75" customFormat="1" customHeight="1" s="7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2.75" customFormat="1" customHeight="1" s="7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2.75" customFormat="1" customHeight="1" s="7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2.75" customFormat="1" customHeight="1" s="7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2.75" customFormat="1" customHeight="1" s="7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2.75" customFormat="1" customHeight="1" s="7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2.75" customFormat="1" customHeight="1" s="7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2.75" customFormat="1" customHeight="1" s="7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2.75" customFormat="1" customHeight="1" s="7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2.75" customFormat="1" customHeight="1" s="7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2.75" customFormat="1" customHeight="1" s="7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2.75" customFormat="1" customHeight="1" s="7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2.75" customFormat="1" customHeight="1" s="7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2.75" customFormat="1" customHeight="1" s="7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2.75" customFormat="1" customHeight="1" s="7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2.75" customFormat="1" customHeight="1" s="7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2.75" customFormat="1" customHeight="1" s="7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2.75" customFormat="1" customHeight="1" s="7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2.75" customFormat="1" customHeight="1" s="7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2.75" customFormat="1" customHeight="1" s="7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2.75" customFormat="1" customHeight="1" s="7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2.75" customFormat="1" customHeight="1" s="7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2.75" customFormat="1" customHeight="1" s="7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2.75" customFormat="1" customHeight="1" s="7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2.75" customFormat="1" customHeight="1" s="7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2.75" customFormat="1" customHeight="1" s="7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2.75" customFormat="1" customHeight="1" s="7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2.75" customFormat="1" customHeight="1" s="7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2.75" customFormat="1" customHeight="1" s="7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2.75" customFormat="1" customHeight="1" s="7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2.75" customFormat="1" customHeight="1" s="7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2.75" customFormat="1" customHeight="1" s="7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2.75" customFormat="1" customHeight="1" s="7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2.75" customFormat="1" customHeight="1" s="7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2.75" customFormat="1" customHeight="1" s="7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2.75" customFormat="1" customHeight="1" s="7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2.75" customFormat="1" customHeight="1" s="7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2.75" customFormat="1" customHeight="1" s="7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2.75" customFormat="1" customHeight="1" s="7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2.75" customFormat="1" customHeight="1" s="7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2.75" customFormat="1" customHeight="1" s="7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2.75" customFormat="1" customHeight="1" s="7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2.75" customFormat="1" customHeight="1" s="7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2.75" customFormat="1" customHeight="1" s="7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2.75" customFormat="1" customHeight="1" s="7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2.75" customFormat="1" customHeight="1" s="7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2.75" customFormat="1" customHeight="1" s="7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2.75" customFormat="1" customHeight="1" s="7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2.75" customFormat="1" customHeight="1" s="7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2.75" customFormat="1" customHeight="1" s="7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2.75" customFormat="1" customHeight="1" s="7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2.75" customFormat="1" customHeight="1" s="7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2.75" customFormat="1" customHeight="1" s="7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2.75" customFormat="1" customHeight="1" s="7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2.75" customFormat="1" customHeight="1" s="7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2.75" customFormat="1" customHeight="1" s="7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2.75" customFormat="1" customHeight="1" s="7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2.75" customFormat="1" customHeight="1" s="7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2.75" customFormat="1" customHeight="1" s="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2.75" customFormat="1" customHeight="1" s="7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2.75" customFormat="1" customHeight="1" s="7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2.75" customFormat="1" customHeight="1" s="7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2.75" customFormat="1" customHeight="1" s="7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2.75" customFormat="1" customHeight="1" s="7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2.75" customFormat="1" customHeight="1" s="7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2.75" customFormat="1" customHeight="1" s="7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2.75" customFormat="1" customHeight="1" s="7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2.75" customFormat="1" customHeight="1" s="7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2.75" customFormat="1" customHeight="1" s="7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2.75" customFormat="1" customHeight="1" s="7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2.75" customFormat="1" customHeight="1" s="7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2.75" customFormat="1" customHeight="1" s="7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2.75" customFormat="1" customHeight="1" s="7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2.75" customFormat="1" customHeight="1" s="7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2.75" customFormat="1" customHeight="1" s="7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2.75" customFormat="1" customHeight="1" s="7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2.75" customFormat="1" customHeight="1" s="7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2.75" customFormat="1" customHeight="1" s="7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2.75" customFormat="1" customHeight="1" s="7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2.75" customFormat="1" customHeight="1" s="7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2.75" customFormat="1" customHeight="1" s="7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2.75" customFormat="1" customHeight="1" s="7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2.75" customFormat="1" customHeight="1" s="7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2.75" customFormat="1" customHeight="1" s="7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2.75" customFormat="1" customHeight="1" s="7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2.75" customFormat="1" customHeight="1" s="7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2.75" customFormat="1" customHeight="1" s="7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2.75" customFormat="1" customHeight="1" s="7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2.75" customFormat="1" customHeight="1" s="7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2.75" customFormat="1" customHeight="1" s="7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2.75" customFormat="1" customHeight="1" s="7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2.75" customFormat="1" customHeight="1" s="7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2.75" customFormat="1" customHeight="1" s="7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2.75" customFormat="1" customHeight="1" s="7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2.75" customFormat="1" customHeight="1" s="7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2.75" customFormat="1" customHeight="1" s="7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2.75" customFormat="1" customHeight="1" s="7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2.75" customFormat="1" customHeight="1" s="7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2.75" customFormat="1" customHeight="1" s="7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2.75" customFormat="1" customHeight="1" s="7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2.75" customFormat="1" customHeight="1" s="7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2.75" customFormat="1" customHeight="1" s="7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2.75" customFormat="1" customHeight="1" s="7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2.75" customFormat="1" customHeight="1" s="7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2.75" customFormat="1" customHeight="1" s="7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2.75" customFormat="1" customHeight="1" s="7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2.75" customFormat="1" customHeight="1" s="7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2.75" customFormat="1" customHeight="1" s="7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2.75" customFormat="1" customHeight="1" s="7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2.75" customFormat="1" customHeight="1" s="7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2.75" customFormat="1" customHeight="1" s="7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2.75" customFormat="1" customHeight="1" s="7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2.75" customFormat="1" customHeight="1" s="7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2.75" customFormat="1" customHeight="1" s="7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2.75" customFormat="1" customHeight="1" s="7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2.75" customFormat="1" customHeight="1" s="7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2.75" customFormat="1" customHeight="1" s="7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2.75" customFormat="1" customHeight="1" s="7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2.75" customFormat="1" customHeight="1" s="7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2.75" customFormat="1" customHeight="1" s="7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2.75" customFormat="1" customHeight="1" s="7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2.75" customFormat="1" customHeight="1" s="7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2.75" customFormat="1" customHeight="1" s="7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2.75" customFormat="1" customHeight="1" s="7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2.75" customFormat="1" customHeight="1" s="7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2.75" customFormat="1" customHeight="1" s="7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2.75" customFormat="1" customHeight="1" s="7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2.75" customFormat="1" customHeight="1" s="7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2.75" customFormat="1" customHeight="1" s="7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2.75" customFormat="1" customHeight="1" s="7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2.75" customFormat="1" customHeight="1" s="7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2.75" customFormat="1" customHeight="1" s="7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2.75" customFormat="1" customHeight="1" s="7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2.75" customFormat="1" customHeight="1" s="7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2.75" customFormat="1" customHeight="1" s="7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2.75" customFormat="1" customHeight="1" s="7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2.75" customFormat="1" customHeight="1" s="7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2.75" customFormat="1" customHeight="1" s="7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2.75" customFormat="1" customHeight="1" s="7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2.75" customFormat="1" customHeight="1" s="7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2.75" customFormat="1" customHeight="1" s="7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2.75" customFormat="1" customHeight="1" s="7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2.75" customFormat="1" customHeight="1" s="7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2.75" customFormat="1" customHeight="1" s="7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2.75" customFormat="1" customHeight="1" s="7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2.75" customFormat="1" customHeight="1" s="7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2.75" customFormat="1" customHeight="1" s="7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2.75" customFormat="1" customHeight="1" s="7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2.75" customFormat="1" customHeight="1" s="7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2.75" customFormat="1" customHeight="1" s="7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2.75" customFormat="1" customHeight="1" s="7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2.75" customFormat="1" customHeight="1" s="7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2.75" customFormat="1" customHeight="1" s="7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2.75" customFormat="1" customHeight="1" s="7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2.75" customFormat="1" customHeight="1" s="7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2.75" customFormat="1" customHeight="1" s="7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2.75" customFormat="1" customHeight="1" s="7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2.75" customFormat="1" customHeight="1" s="7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2.75" customFormat="1" customHeight="1" s="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2.75" customFormat="1" customHeight="1" s="7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2.75" customFormat="1" customHeight="1" s="7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2.75" customFormat="1" customHeight="1" s="7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2.75" customFormat="1" customHeight="1" s="7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2.75" customFormat="1" customHeight="1" s="7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2.75" customFormat="1" customHeight="1" s="7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2.75" customFormat="1" customHeight="1" s="7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2.75" customFormat="1" customHeight="1" s="7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2.75" customFormat="1" customHeight="1" s="7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2.75" customFormat="1" customHeight="1" s="7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2.75" customFormat="1" customHeight="1" s="7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2.75" customFormat="1" customHeight="1" s="7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2.75" customFormat="1" customHeight="1" s="7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2.75" customFormat="1" customHeight="1" s="7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2.75" customFormat="1" customHeight="1" s="7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2.75" customFormat="1" customHeight="1" s="7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2.75" customFormat="1" customHeight="1" s="7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2.75" customFormat="1" customHeight="1" s="7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2.75" customFormat="1" customHeight="1" s="7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2.75" customFormat="1" customHeight="1" s="7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2.75" customFormat="1" customHeight="1" s="7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2.75" customFormat="1" customHeight="1" s="7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2.75" customFormat="1" customHeight="1" s="7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2.75" customFormat="1" customHeight="1" s="7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2.75" customFormat="1" customHeight="1" s="7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2.75" customFormat="1" customHeight="1" s="7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2.75" customFormat="1" customHeight="1" s="7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2.75" customFormat="1" customHeight="1" s="7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2.75" customFormat="1" customHeight="1" s="7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2.75" customFormat="1" customHeight="1" s="7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2.75" customFormat="1" customHeight="1" s="7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2.75" customFormat="1" customHeight="1" s="7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2.75" customFormat="1" customHeight="1" s="7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2.75" customFormat="1" customHeight="1" s="7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2.75" customFormat="1" customHeight="1" s="7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2.75" customFormat="1" customHeight="1" s="7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2.75" customFormat="1" customHeight="1" s="7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2.75" customFormat="1" customHeight="1" s="7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2.75" customFormat="1" customHeight="1" s="7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2.75" customFormat="1" customHeight="1" s="7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2.75" customFormat="1" customHeight="1" s="7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2.75" customFormat="1" customHeight="1" s="7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2.75" customFormat="1" customHeight="1" s="7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2.75" customFormat="1" customHeight="1" s="7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2.75" customFormat="1" customHeight="1" s="7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2.75" customFormat="1" customHeight="1" s="7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2.75" customFormat="1" customHeight="1" s="7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2.75" customFormat="1" customHeight="1" s="7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2.75" customFormat="1" customHeight="1" s="7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2.75" customFormat="1" customHeight="1" s="7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2.75" customFormat="1" customHeight="1" s="7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2.75" customFormat="1" customHeight="1" s="7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2.75" customFormat="1" customHeight="1" s="7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2.75" customFormat="1" customHeight="1" s="7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2.75" customFormat="1" customHeight="1" s="7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2.75" customFormat="1" customHeight="1" s="7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2.75" customFormat="1" customHeight="1" s="7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2.75" customFormat="1" customHeight="1" s="7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2.75" customFormat="1" customHeight="1" s="7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2.75" customFormat="1" customHeight="1" s="7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2.75" customFormat="1" customHeight="1" s="7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2.75" customFormat="1" customHeight="1" s="7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2.75" customFormat="1" customHeight="1" s="7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2.75" customFormat="1" customHeight="1" s="7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2.75" customFormat="1" customHeight="1" s="7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2.75" customFormat="1" customHeight="1" s="7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2.75" customFormat="1" customHeight="1" s="7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2.75" customFormat="1" customHeight="1" s="7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2.75" customFormat="1" customHeight="1" s="7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2.75" customFormat="1" customHeight="1" s="7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2.75" customFormat="1" customHeight="1" s="7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2.75" customFormat="1" customHeight="1" s="7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2.75" customFormat="1" customHeight="1" s="7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2.75" customFormat="1" customHeight="1" s="7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2.75" customFormat="1" customHeight="1" s="7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2.75" customFormat="1" customHeight="1" s="7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2.75" customFormat="1" customHeight="1" s="7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2.75" customFormat="1" customHeight="1" s="7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2.75" customFormat="1" customHeight="1" s="7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2.75" customFormat="1" customHeight="1" s="7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2.75" customFormat="1" customHeight="1" s="7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2.75" customFormat="1" customHeight="1" s="7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2.75" customFormat="1" customHeight="1" s="7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2.75" customFormat="1" customHeight="1" s="7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2.75" customFormat="1" customHeight="1" s="7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2.75" customFormat="1" customHeight="1" s="7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2.75" customFormat="1" customHeight="1" s="7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2.75" customFormat="1" customHeight="1" s="7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2.75" customFormat="1" customHeight="1" s="7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2.75" customFormat="1" customHeight="1" s="7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2.75" customFormat="1" customHeight="1" s="7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2.75" customFormat="1" customHeight="1" s="7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2.75" customFormat="1" customHeight="1" s="7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2.75" customFormat="1" customHeight="1" s="7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2.75" customFormat="1" customHeight="1" s="7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2.75" customFormat="1" customHeight="1" s="7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2.75" customFormat="1" customHeight="1" s="7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2.75" customFormat="1" customHeight="1" s="7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2.75" customFormat="1" customHeight="1" s="7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2.75" customFormat="1" customHeight="1" s="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2.75" customFormat="1" customHeight="1" s="7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2.75" customFormat="1" customHeight="1" s="7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2.75" customFormat="1" customHeight="1" s="7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2.75" customFormat="1" customHeight="1" s="7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2.75" customFormat="1" customHeight="1" s="7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2.75" customFormat="1" customHeight="1" s="7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2.75" customFormat="1" customHeight="1" s="7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2.75" customFormat="1" customHeight="1" s="7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2.75" customFormat="1" customHeight="1" s="7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2.75" customFormat="1" customHeight="1" s="7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2.75" customFormat="1" customHeight="1" s="7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2.75" customFormat="1" customHeight="1" s="7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2.75" customFormat="1" customHeight="1" s="7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2.75" customFormat="1" customHeight="1" s="7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2.75" customFormat="1" customHeight="1" s="7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2.75" customFormat="1" customHeight="1" s="7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2.75" customFormat="1" customHeight="1" s="7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2.75" customFormat="1" customHeight="1" s="7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2.75" customFormat="1" customHeight="1" s="7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2.75" customFormat="1" customHeight="1" s="7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2.75" customFormat="1" customHeight="1" s="7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2.75" customFormat="1" customHeight="1" s="7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2.75" customFormat="1" customHeight="1" s="7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2.75" customFormat="1" customHeight="1" s="7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2.75" customFormat="1" customHeight="1" s="7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2.75" customFormat="1" customHeight="1" s="7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2.75" customFormat="1" customHeight="1" s="7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2.75" customFormat="1" customHeight="1" s="7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2.75" customFormat="1" customHeight="1" s="7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2.75" customFormat="1" customHeight="1" s="7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2.75" customFormat="1" customHeight="1" s="7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2.75" customFormat="1" customHeight="1" s="7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2.75" customFormat="1" customHeight="1" s="7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2.75" customFormat="1" customHeight="1" s="7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2.75" customFormat="1" customHeight="1" s="7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2.75" customFormat="1" customHeight="1" s="7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2.75" customFormat="1" customHeight="1" s="7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2.75" customFormat="1" customHeight="1" s="7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2.75" customFormat="1" customHeight="1" s="7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2.75" customFormat="1" customHeight="1" s="7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2.75" customFormat="1" customHeight="1" s="7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2.75" customFormat="1" customHeight="1" s="7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2.75" customFormat="1" customHeight="1" s="7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2.75" customFormat="1" customHeight="1" s="7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2.75" customFormat="1" customHeight="1" s="7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2.75" customFormat="1" customHeight="1" s="7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2.75" customFormat="1" customHeight="1" s="7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2.75" customFormat="1" customHeight="1" s="7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2.75" customFormat="1" customHeight="1" s="7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2.75" customFormat="1" customHeight="1" s="7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2.75" customFormat="1" customHeight="1" s="7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2.75" customFormat="1" customHeight="1" s="7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2.75" customFormat="1" customHeight="1" s="7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2.75" customFormat="1" customHeight="1" s="7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2.75" customFormat="1" customHeight="1" s="7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2.75" customFormat="1" customHeight="1" s="7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2.75" customFormat="1" customHeight="1" s="7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2.75" customFormat="1" customHeight="1" s="7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2.75" customFormat="1" customHeight="1" s="7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2.75" customFormat="1" customHeight="1" s="7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2.75" customFormat="1" customHeight="1" s="7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2.75" customFormat="1" customHeight="1" s="7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2.75" customFormat="1" customHeight="1" s="7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2.75" customFormat="1" customHeight="1" s="7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2.75" customFormat="1" customHeight="1" s="7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2.75" customFormat="1" customHeight="1" s="7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2.75" customFormat="1" customHeight="1" s="7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2.75" customFormat="1" customHeight="1" s="7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2.75" customFormat="1" customHeight="1" s="7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2.75" customFormat="1" customHeight="1" s="7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2.75" customFormat="1" customHeight="1" s="7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2.75" customFormat="1" customHeight="1" s="7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2.75" customFormat="1" customHeight="1" s="7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2.75" customFormat="1" customHeight="1" s="7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2.75" customFormat="1" customHeight="1" s="7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2.75" customFormat="1" customHeight="1" s="7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2.75" customFormat="1" customHeight="1" s="7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2.75" customFormat="1" customHeight="1" s="7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2.75" customFormat="1" customHeight="1" s="7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2.75" customFormat="1" customHeight="1" s="7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2.75" customFormat="1" customHeight="1" s="7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2.75" customFormat="1" customHeight="1" s="7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2.75" customFormat="1" customHeight="1" s="7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2.75" customFormat="1" customHeight="1" s="7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2.75" customFormat="1" customHeight="1" s="7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2.75" customFormat="1" customHeight="1" s="7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2.75" customFormat="1" customHeight="1" s="7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2.75" customFormat="1" customHeight="1" s="7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2.75" customFormat="1" customHeight="1" s="7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2.75" customFormat="1" customHeight="1" s="7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2.75" customFormat="1" customHeight="1" s="7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2.75" customFormat="1" customHeight="1" s="7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2.75" customFormat="1" customHeight="1" s="7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2.75" customFormat="1" customHeight="1" s="7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2.75" customFormat="1" customHeight="1" s="7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2.75" customFormat="1" customHeight="1" s="7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2.75" customFormat="1" customHeight="1" s="7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2.75" customFormat="1" customHeight="1" s="7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2.75" customFormat="1" customHeight="1" s="7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2.75" customFormat="1" customHeight="1" s="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2.75" customFormat="1" customHeight="1" s="7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2.75" customFormat="1" customHeight="1" s="7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2.75" customFormat="1" customHeight="1" s="7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2.75" customFormat="1" customHeight="1" s="7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2.75" customFormat="1" customHeight="1" s="7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2.75" customFormat="1" customHeight="1" s="7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2.75" customFormat="1" customHeight="1" s="7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2.75" customFormat="1" customHeight="1" s="7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2.75" customFormat="1" customHeight="1" s="7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2.75" customFormat="1" customHeight="1" s="7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2.75" customFormat="1" customHeight="1" s="7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2.75" customFormat="1" customHeight="1" s="7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2.75" customFormat="1" customHeight="1" s="7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2.75" customFormat="1" customHeight="1" s="7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2.75" customFormat="1" customHeight="1" s="7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2.75" customFormat="1" customHeight="1" s="7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2.75" customFormat="1" customHeight="1" s="7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2.75" customFormat="1" customHeight="1" s="7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2.75" customFormat="1" customHeight="1" s="7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2.75" customFormat="1" customHeight="1" s="7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2.75" customFormat="1" customHeight="1" s="7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2.75" customFormat="1" customHeight="1" s="7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2.75" customFormat="1" customHeight="1" s="7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2.75" customFormat="1" customHeight="1" s="7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2.75" customFormat="1" customHeight="1" s="7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2.75" customFormat="1" customHeight="1" s="7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2.75" customFormat="1" customHeight="1" s="7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2.75" customFormat="1" customHeight="1" s="7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2.75" customFormat="1" customHeight="1" s="7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2.75" customFormat="1" customHeight="1" s="7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2.75" customFormat="1" customHeight="1" s="7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2.75" customFormat="1" customHeight="1" s="7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2.75" customFormat="1" customHeight="1" s="7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2.75" customFormat="1" customHeight="1" s="7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2.75" customFormat="1" customHeight="1" s="7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2.75" customFormat="1" customHeight="1" s="7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2.75" customFormat="1" customHeight="1" s="7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2.75" customFormat="1" customHeight="1" s="7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2.75" customFormat="1" customHeight="1" s="7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2.75" customFormat="1" customHeight="1" s="7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2.75" customFormat="1" customHeight="1" s="7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2.75" customFormat="1" customHeight="1" s="7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2.75" customFormat="1" customHeight="1" s="7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2.75" customFormat="1" customHeight="1" s="7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2.75" customFormat="1" customHeight="1" s="7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2.75" customFormat="1" customHeight="1" s="7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2.75" customFormat="1" customHeight="1" s="7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2.75" customFormat="1" customHeight="1" s="7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2.75" customFormat="1" customHeight="1" s="7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2.75" customFormat="1" customHeight="1" s="7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2.75" customFormat="1" customHeight="1" s="7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2.75" customFormat="1" customHeight="1" s="7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2.75" customFormat="1" customHeight="1" s="7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2.75" customFormat="1" customHeight="1" s="7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2.75" customFormat="1" customHeight="1" s="7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2.75" customFormat="1" customHeight="1" s="7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2.75" customFormat="1" customHeight="1" s="7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2.75" customFormat="1" customHeight="1" s="7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2.75" customFormat="1" customHeight="1" s="7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2.75" customFormat="1" customHeight="1" s="7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2.75" customFormat="1" customHeight="1" s="7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2.75" customFormat="1" customHeight="1" s="7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2.75" customFormat="1" customHeight="1" s="7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2.75" customFormat="1" customHeight="1" s="7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2.75" customFormat="1" customHeight="1" s="7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2.75" customFormat="1" customHeight="1" s="7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2.75" customFormat="1" customHeight="1" s="7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2.75" customFormat="1" customHeight="1" s="7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2.75" customFormat="1" customHeight="1" s="7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2.75" customFormat="1" customHeight="1" s="7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2.75" customFormat="1" customHeight="1" s="7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2.75" customFormat="1" customHeight="1" s="7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2.75" customFormat="1" customHeight="1" s="7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2.75" customFormat="1" customHeight="1" s="7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2.75" customFormat="1" customHeight="1" s="7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2.75" customFormat="1" customHeight="1" s="7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2.75" customFormat="1" customHeight="1" s="7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2.75" customFormat="1" customHeight="1" s="7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2.75" customFormat="1" customHeight="1" s="7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2.75" customFormat="1" customHeight="1" s="7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2.75" customFormat="1" customHeight="1" s="7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2.75" customFormat="1" customHeight="1" s="7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2.75" customFormat="1" customHeight="1" s="7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2.75" customFormat="1" customHeight="1" s="7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2.75" customFormat="1" customHeight="1" s="7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2.75" customFormat="1" customHeight="1" s="7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2.75" customFormat="1" customHeight="1" s="7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2.75" customFormat="1" customHeight="1" s="7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2.75" customFormat="1" customHeight="1" s="7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2.75" customFormat="1" customHeight="1" s="7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2.75" customFormat="1" customHeight="1" s="7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2.75" customFormat="1" customHeight="1" s="7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2.75" customFormat="1" customHeight="1" s="7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2.75" customFormat="1" customHeight="1" s="7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2.75" customFormat="1" customHeight="1" s="7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2.75" customFormat="1" customHeight="1" s="7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2.75" customFormat="1" customHeight="1" s="7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2.75" customFormat="1" customHeight="1" s="7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2.75" customFormat="1" customHeight="1" s="7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2.75" customFormat="1" customHeight="1" s="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2.75" customFormat="1" customHeight="1" s="7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2.75" customFormat="1" customHeight="1" s="7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2.75" customFormat="1" customHeight="1" s="7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2.75" customFormat="1" customHeight="1" s="7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2.75" customFormat="1" customHeight="1" s="7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2.75" customFormat="1" customHeight="1" s="7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2.75" customFormat="1" customHeight="1" s="7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2.75" customFormat="1" customHeight="1" s="7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2.75" customFormat="1" customHeight="1" s="7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2.75" customFormat="1" customHeight="1" s="7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2.75" customFormat="1" customHeight="1" s="7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2.75" customFormat="1" customHeight="1" s="7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2.75" customFormat="1" customHeight="1" s="7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2.75" customFormat="1" customHeight="1" s="7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2.75" customFormat="1" customHeight="1" s="7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2.75" customFormat="1" customHeight="1" s="7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2.75" customFormat="1" customHeight="1" s="7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2.75" customFormat="1" customHeight="1" s="7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2.75" customFormat="1" customHeight="1" s="7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2.75" customFormat="1" customHeight="1" s="7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2.75" customFormat="1" customHeight="1" s="7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2.75" customFormat="1" customHeight="1" s="7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2.75" customFormat="1" customHeight="1" s="7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2.75" customFormat="1" customHeight="1" s="7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2.75" customFormat="1" customHeight="1" s="7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2.75" customFormat="1" customHeight="1" s="7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2.75" customFormat="1" customHeight="1" s="7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2.75" customFormat="1" customHeight="1" s="7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2.75" customFormat="1" customHeight="1" s="7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2.75" customFormat="1" customHeight="1" s="7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2.75" customFormat="1" customHeight="1" s="7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2.75" customFormat="1" customHeight="1" s="7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2.75" customFormat="1" customHeight="1" s="7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2.75" customFormat="1" customHeight="1" s="7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2.75" customFormat="1" customHeight="1" s="7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2.75" customFormat="1" customHeight="1" s="7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2.75" customFormat="1" customHeight="1" s="7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2.75" customFormat="1" customHeight="1" s="7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2.75" customFormat="1" customHeight="1" s="7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2.75" customFormat="1" customHeight="1" s="7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2.75" customFormat="1" customHeight="1" s="7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2.75" customFormat="1" customHeight="1" s="7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2.75" customFormat="1" customHeight="1" s="7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2.75" customFormat="1" customHeight="1" s="7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2.75" customFormat="1" customHeight="1" s="7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2.75" customFormat="1" customHeight="1" s="7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2.75" customFormat="1" customHeight="1" s="7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2.75" customFormat="1" customHeight="1" s="7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2.75" customFormat="1" customHeight="1" s="7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2.75" customFormat="1" customHeight="1" s="7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2.75" customFormat="1" customHeight="1" s="7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2.75" customFormat="1" customHeight="1" s="7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2.75" customFormat="1" customHeight="1" s="7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2.75" customFormat="1" customHeight="1" s="7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2.75" customFormat="1" customHeight="1" s="7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2.75" customFormat="1" customHeight="1" s="7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2.75" customFormat="1" customHeight="1" s="7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2.75" customFormat="1" customHeight="1" s="7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2.75" customFormat="1" customHeight="1" s="7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2.75" customFormat="1" customHeight="1" s="7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2.75" customFormat="1" customHeight="1" s="7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2.75" customFormat="1" customHeight="1" s="7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2.75" customFormat="1" customHeight="1" s="7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2.75" customFormat="1" customHeight="1" s="7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2.75" customFormat="1" customHeight="1" s="7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2.75" customFormat="1" customHeight="1" s="7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2.75" customFormat="1" customHeight="1" s="7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2.75" customFormat="1" customHeight="1" s="7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2.75" customFormat="1" customHeight="1" s="7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2.75" customFormat="1" customHeight="1" s="7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2.75" customFormat="1" customHeight="1" s="7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2.75" customFormat="1" customHeight="1" s="7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2.75" customFormat="1" customHeight="1" s="7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2.75" customFormat="1" customHeight="1" s="7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2.75" customFormat="1" customHeight="1" s="7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2.75" customFormat="1" customHeight="1" s="7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2.75" customFormat="1" customHeight="1" s="7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2.75" customFormat="1" customHeight="1" s="7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2.75" customFormat="1" customHeight="1" s="7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2.75" customFormat="1" customHeight="1" s="7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2.75" customFormat="1" customHeight="1" s="7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2.75" customFormat="1" customHeight="1" s="7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2.75" customFormat="1" customHeight="1" s="7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2.75" customFormat="1" customHeight="1" s="7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2.75" customFormat="1" customHeight="1" s="7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2.75" customFormat="1" customHeight="1" s="7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2.75" customFormat="1" customHeight="1" s="7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2.75" customFormat="1" customHeight="1" s="7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2.75" customFormat="1" customHeight="1" s="7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2.75" customFormat="1" customHeight="1" s="7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2.75" customFormat="1" customHeight="1" s="7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2.75" customFormat="1" customHeight="1" s="7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2.75" customFormat="1" customHeight="1" s="7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2.75" customFormat="1" customHeight="1" s="7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2.75" customFormat="1" customHeight="1" s="7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2.75" customFormat="1" customHeight="1" s="7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2.75" customFormat="1" customHeight="1" s="7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2.75" customFormat="1" customHeight="1" s="7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2.75" customFormat="1" customHeight="1" s="7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2.75" customFormat="1" customHeight="1" s="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2.75" customFormat="1" customHeight="1" s="7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2.75" customFormat="1" customHeight="1" s="7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2.75" customFormat="1" customHeight="1" s="7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2.75" customFormat="1" customHeight="1" s="7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2.75" customFormat="1" customHeight="1" s="7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2.75" customFormat="1" customHeight="1" s="7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2.75" customFormat="1" customHeight="1" s="7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2.75" customFormat="1" customHeight="1" s="7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2.75" customFormat="1" customHeight="1" s="7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2.75" customFormat="1" customHeight="1" s="7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2.75" customFormat="1" customHeight="1" s="7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2.75" customFormat="1" customHeight="1" s="7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2.75" customFormat="1" customHeight="1" s="7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2.75" customFormat="1" customHeight="1" s="7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2.75" customFormat="1" customHeight="1" s="7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2.75" customFormat="1" customHeight="1" s="7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2.75" customFormat="1" customHeight="1" s="7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2.75" customFormat="1" customHeight="1" s="7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2.75" customFormat="1" customHeight="1" s="7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2.75" customFormat="1" customHeight="1" s="7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2.75" customFormat="1" customHeight="1" s="7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2.75" customFormat="1" customHeight="1" s="7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2.75" customFormat="1" customHeight="1" s="7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2.75" customFormat="1" customHeight="1" s="7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2.75" customFormat="1" customHeight="1" s="7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2.75" customFormat="1" customHeight="1" s="7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2.75" customFormat="1" customHeight="1" s="7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2.75" customFormat="1" customHeight="1" s="7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2.75" customFormat="1" customHeight="1" s="7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2.75" customFormat="1" customHeight="1" s="7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2.75" customFormat="1" customHeight="1" s="7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2.75" customFormat="1" customHeight="1" s="7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2.75" customFormat="1" customHeight="1" s="7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2.75" customFormat="1" customHeight="1" s="7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2.75" customFormat="1" customHeight="1" s="7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2.75" customFormat="1" customHeight="1" s="7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2.75" customFormat="1" customHeight="1" s="7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2.75" customFormat="1" customHeight="1" s="7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2.75" customFormat="1" customHeight="1" s="7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2.75" customFormat="1" customHeight="1" s="7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2.75" customFormat="1" customHeight="1" s="7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2.75" customFormat="1" customHeight="1" s="7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2.75" customFormat="1" customHeight="1" s="7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2.75" customFormat="1" customHeight="1" s="7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2.75" customFormat="1" customHeight="1" s="7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2.75" customFormat="1" customHeight="1" s="7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2.75" customFormat="1" customHeight="1" s="7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2.75" customFormat="1" customHeight="1" s="7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2.75" customFormat="1" customHeight="1" s="7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2.75" customFormat="1" customHeight="1" s="7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2.75" customFormat="1" customHeight="1" s="7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2.75" customFormat="1" customHeight="1" s="7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2.75" customFormat="1" customHeight="1" s="7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2.75" customFormat="1" customHeight="1" s="7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2.75" customFormat="1" customHeight="1" s="7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2.75" customFormat="1" customHeight="1" s="7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2.75" customFormat="1" customHeight="1" s="7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2.75" customFormat="1" customHeight="1" s="7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2.75" customFormat="1" customHeight="1" s="7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2.75" customFormat="1" customHeight="1" s="7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2.75" customFormat="1" customHeight="1" s="7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2.75" customFormat="1" customHeight="1" s="7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2.75" customFormat="1" customHeight="1" s="7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2.75" customFormat="1" customHeight="1" s="7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2.75" customFormat="1" customHeight="1" s="7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2.75" customFormat="1" customHeight="1" s="7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2.75" customFormat="1" customHeight="1" s="7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2.75" customFormat="1" customHeight="1" s="7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2.75" customFormat="1" customHeight="1" s="7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2.75" customFormat="1" customHeight="1" s="7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2.75" customFormat="1" customHeight="1" s="7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2.75" customFormat="1" customHeight="1" s="7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2.75" customFormat="1" customHeight="1" s="7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2.75" customFormat="1" customHeight="1" s="7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2.75" customFormat="1" customHeight="1" s="7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2.75" customFormat="1" customHeight="1" s="7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2.75" customFormat="1" customHeight="1" s="7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2.75" customFormat="1" customHeight="1" s="7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2.75" customFormat="1" customHeight="1" s="7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2.75" customFormat="1" customHeight="1" s="7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2.75" customFormat="1" customHeight="1" s="7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2.75" customFormat="1" customHeight="1" s="7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2.75" customFormat="1" customHeight="1" s="7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2.75" customFormat="1" customHeight="1" s="7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2.75" customFormat="1" customHeight="1" s="7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2.75" customFormat="1" customHeight="1" s="7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2.75" customFormat="1" customHeight="1" s="7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2.75" customFormat="1" customHeight="1" s="7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2.75" customFormat="1" customHeight="1" s="7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2.75" customFormat="1" customHeight="1" s="7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2.75" customFormat="1" customHeight="1" s="7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2.75" customFormat="1" customHeight="1" s="7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2.75" customFormat="1" customHeight="1" s="7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2.75" customFormat="1" customHeight="1" s="7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2.75" customFormat="1" customHeight="1" s="7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2.75" customFormat="1" customHeight="1" s="7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2.75" customFormat="1" customHeight="1" s="7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2.75" customFormat="1" customHeight="1" s="7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2.75" customFormat="1" customHeight="1" s="7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2.75" customFormat="1" customHeight="1" s="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2.75" customFormat="1" customHeight="1" s="7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2.75" customFormat="1" customHeight="1" s="7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2.75" customFormat="1" customHeight="1" s="7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2.75" customFormat="1" customHeight="1" s="7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2.75" customFormat="1" customHeight="1" s="7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2.75" customFormat="1" customHeight="1" s="7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2.75" customFormat="1" customHeight="1" s="7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2.75" customFormat="1" customHeight="1" s="7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2.75" customFormat="1" customHeight="1" s="7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2.75" customFormat="1" customHeight="1" s="7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2.75" customFormat="1" customHeight="1" s="7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2.75" customFormat="1" customHeight="1" s="7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2.75" customFormat="1" customHeight="1" s="7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2.75" customFormat="1" customHeight="1" s="7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2.75" customFormat="1" customHeight="1" s="7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2.75" customFormat="1" customHeight="1" s="7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2.75" customFormat="1" customHeight="1" s="7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2.75" customFormat="1" customHeight="1" s="7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2.75" customFormat="1" customHeight="1" s="7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2.75" customFormat="1" customHeight="1" s="7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2.75" customFormat="1" customHeight="1" s="7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2.75" customFormat="1" customHeight="1" s="7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2.75" customFormat="1" customHeight="1" s="7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2.75" customFormat="1" customHeight="1" s="7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0"/>
  <sheetViews>
    <sheetView topLeftCell="A12" workbookViewId="0">
      <selection activeCell="A32" sqref="A32:D32"/>
    </sheetView>
  </sheetViews>
  <sheetFormatPr baseColWidth="8" defaultColWidth="14.42578125" defaultRowHeight="12.75"/>
  <cols>
    <col width="28" customWidth="1" style="76" min="1" max="1"/>
    <col width="55" customWidth="1" style="76" min="2" max="2"/>
    <col width="30" customWidth="1" style="76" min="3" max="3"/>
    <col width="35" customWidth="1" style="76" min="4" max="4"/>
    <col width="8.7109375" customWidth="1" style="76" min="5" max="26"/>
  </cols>
  <sheetData>
    <row r="1" ht="27.75" customFormat="1" customHeight="1" s="76">
      <c r="A1" s="77" t="inlineStr">
        <is>
          <t>Общая драматургическая идея</t>
        </is>
      </c>
    </row>
    <row r="2" ht="60" customFormat="1" customHeight="1" s="76">
      <c r="A2" s="9" t="inlineStr">
        <is>
          <t>Главная тема</t>
        </is>
      </c>
      <c r="B2" s="75" t="n"/>
    </row>
    <row r="3" ht="75" customFormat="1" customHeight="1" s="76">
      <c r="A3" s="9" t="inlineStr">
        <is>
          <t>Главная мысль</t>
        </is>
      </c>
      <c r="B3" s="75" t="n"/>
    </row>
    <row r="4" ht="75" customFormat="1" customHeight="1" s="76">
      <c r="A4" s="9" t="inlineStr">
        <is>
          <t>Смысл для зрителя</t>
        </is>
      </c>
      <c r="B4" s="75" t="n"/>
    </row>
    <row r="5" ht="12.75" customFormat="1" customHeight="1" s="76">
      <c r="A5" s="2" t="n"/>
      <c r="B5" s="2" t="n"/>
      <c r="C5" s="2" t="n"/>
      <c r="D5" s="2" t="n"/>
    </row>
    <row r="6" ht="24" customFormat="1" customHeight="1" s="76">
      <c r="A6" s="78" t="inlineStr">
        <is>
          <t>Темы и подтемы</t>
        </is>
      </c>
    </row>
    <row r="7" ht="19.5" customFormat="1" customHeight="1" s="76">
      <c r="A7" s="11" t="inlineStr">
        <is>
          <t>Название блока</t>
        </is>
      </c>
      <c r="B7" s="11" t="inlineStr">
        <is>
          <t>Подтемы</t>
        </is>
      </c>
      <c r="C7" s="11" t="inlineStr">
        <is>
          <t>Функция блока</t>
        </is>
      </c>
      <c r="D7" s="11" t="inlineStr">
        <is>
          <t>Логическая роль</t>
        </is>
      </c>
    </row>
    <row r="8" ht="60" customFormat="1" customHeight="1" s="76">
      <c r="A8" s="12" t="n"/>
      <c r="B8" s="13" t="n"/>
      <c r="C8" s="13" t="n"/>
      <c r="D8" s="13" t="n"/>
    </row>
    <row r="9" ht="60" customFormat="1" customHeight="1" s="76">
      <c r="A9" s="14" t="n"/>
      <c r="B9" s="75" t="n"/>
      <c r="C9" s="75" t="n"/>
      <c r="D9" s="75" t="n"/>
    </row>
    <row r="10" ht="60" customFormat="1" customHeight="1" s="76">
      <c r="A10" s="12" t="n"/>
      <c r="B10" s="13" t="n"/>
      <c r="C10" s="13" t="n"/>
      <c r="D10" s="13" t="n"/>
    </row>
    <row r="11" ht="60" customFormat="1" customHeight="1" s="76">
      <c r="A11" s="14" t="n"/>
      <c r="B11" s="75" t="n"/>
      <c r="C11" s="75" t="n"/>
      <c r="D11" s="75" t="n"/>
    </row>
    <row r="12" ht="60" customFormat="1" customHeight="1" s="76">
      <c r="A12" s="12" t="n"/>
      <c r="B12" s="13" t="n"/>
      <c r="C12" s="13" t="n"/>
      <c r="D12" s="13" t="n"/>
    </row>
    <row r="13" ht="60" customFormat="1" customHeight="1" s="76">
      <c r="A13" s="14" t="n"/>
      <c r="B13" s="75" t="n"/>
      <c r="C13" s="75" t="n"/>
      <c r="D13" s="75" t="n"/>
    </row>
    <row r="14" ht="12.75" customFormat="1" customHeight="1" s="76">
      <c r="A14" s="2" t="n"/>
      <c r="B14" s="2" t="n"/>
      <c r="C14" s="2" t="n"/>
      <c r="D14" s="2" t="n"/>
    </row>
    <row r="15" ht="24" customFormat="1" customHeight="1" s="76">
      <c r="A15" s="78" t="inlineStr">
        <is>
          <t>Поэпизодный план на 12 минут</t>
        </is>
      </c>
    </row>
    <row r="16" ht="19.5" customFormat="1" customHeight="1" s="76">
      <c r="A16" s="11" t="inlineStr">
        <is>
          <t>№ / название</t>
        </is>
      </c>
      <c r="B16" s="11" t="inlineStr">
        <is>
          <t>Таймкод</t>
        </is>
      </c>
      <c r="C16" s="11" t="inlineStr">
        <is>
          <t>Объём, знаков</t>
        </is>
      </c>
      <c r="D16" s="11" t="inlineStr">
        <is>
          <t>Что раскрыть в этом фрагменте</t>
        </is>
      </c>
    </row>
    <row r="17" ht="69.75" customFormat="1" customHeight="1" s="76">
      <c r="A17" s="12" t="n"/>
      <c r="B17" s="15" t="n"/>
      <c r="C17" s="15" t="n"/>
      <c r="D17" s="13" t="n"/>
    </row>
    <row r="18" ht="84.75" customFormat="1" customHeight="1" s="76">
      <c r="A18" s="14" t="n"/>
      <c r="B18" s="16" t="n"/>
      <c r="C18" s="16" t="n"/>
      <c r="D18" s="75" t="n"/>
    </row>
    <row r="19" ht="94.5" customFormat="1" customHeight="1" s="76">
      <c r="A19" s="12" t="n"/>
      <c r="B19" s="15" t="n"/>
      <c r="C19" s="15" t="n"/>
      <c r="D19" s="13" t="n"/>
    </row>
    <row r="20" ht="84.75" customFormat="1" customHeight="1" s="76">
      <c r="A20" s="14" t="n"/>
      <c r="B20" s="16" t="n"/>
      <c r="C20" s="16" t="n"/>
      <c r="D20" s="75" t="n"/>
    </row>
    <row r="21" ht="94.5" customFormat="1" customHeight="1" s="76">
      <c r="A21" s="12" t="n"/>
      <c r="B21" s="15" t="n"/>
      <c r="C21" s="15" t="n"/>
      <c r="D21" s="13" t="n"/>
    </row>
    <row r="22" ht="84.75" customFormat="1" customHeight="1" s="76">
      <c r="A22" s="14" t="n"/>
      <c r="B22" s="16" t="n"/>
      <c r="C22" s="16" t="n"/>
      <c r="D22" s="75" t="n"/>
    </row>
    <row r="23" ht="94.5" customFormat="1" customHeight="1" s="76">
      <c r="A23" s="12" t="n"/>
      <c r="B23" s="15" t="n"/>
      <c r="C23" s="15" t="n"/>
      <c r="D23" s="13" t="n"/>
    </row>
    <row r="24" ht="94.5" customFormat="1" customHeight="1" s="76">
      <c r="A24" s="14" t="n"/>
      <c r="B24" s="16" t="n"/>
      <c r="C24" s="16" t="n"/>
      <c r="D24" s="75" t="n"/>
    </row>
    <row r="25" ht="84.75" customFormat="1" customHeight="1" s="76">
      <c r="A25" s="12" t="n"/>
      <c r="B25" s="15" t="n"/>
      <c r="C25" s="15" t="n"/>
      <c r="D25" s="13" t="n"/>
    </row>
    <row r="26" ht="94.5" customFormat="1" customHeight="1" s="76">
      <c r="A26" s="14" t="n"/>
      <c r="B26" s="16" t="n"/>
      <c r="C26" s="16" t="n"/>
      <c r="D26" s="75" t="n"/>
    </row>
    <row r="27" ht="94.5" customFormat="1" customHeight="1" s="76">
      <c r="A27" s="12" t="n"/>
      <c r="B27" s="15" t="n"/>
      <c r="C27" s="15" t="n"/>
      <c r="D27" s="13" t="n"/>
    </row>
    <row r="28" ht="94.5" customFormat="1" customHeight="1" s="76">
      <c r="A28" s="14" t="n"/>
      <c r="B28" s="16" t="n"/>
      <c r="C28" s="16" t="n"/>
      <c r="D28" s="75" t="n"/>
    </row>
    <row r="29" ht="94.5" customFormat="1" customHeight="1" s="76">
      <c r="A29" s="12" t="n"/>
      <c r="B29" s="15" t="n"/>
      <c r="C29" s="15" t="n"/>
      <c r="D29" s="13" t="n"/>
    </row>
    <row r="30" ht="12.75" customFormat="1" customHeight="1" s="76">
      <c r="A30" s="2" t="n"/>
      <c r="B30" s="2" t="n"/>
      <c r="C30" s="2" t="n"/>
      <c r="D30" s="2" t="n"/>
    </row>
    <row r="31" ht="21.75" customFormat="1" customHeight="1" s="76">
      <c r="A31" s="78" t="inlineStr">
        <is>
          <t>Краткий итог</t>
        </is>
      </c>
    </row>
    <row r="32" ht="91.5" customFormat="1" customHeight="1" s="76">
      <c r="A32" s="75" t="n"/>
    </row>
    <row r="33" ht="12.75" customFormat="1" customHeight="1" s="76">
      <c r="A33" s="77" t="inlineStr">
        <is>
          <t>Фоновая музыка (путь к файлу)</t>
        </is>
      </c>
      <c r="B33" s="2" t="n"/>
      <c r="C33" s="2" t="n"/>
      <c r="D33" s="2" t="n"/>
    </row>
    <row r="34" ht="12.75" customFormat="1" customHeight="1" s="76">
      <c r="A34" s="81" t="n"/>
      <c r="B34" s="2" t="n"/>
      <c r="C34" s="2" t="n"/>
      <c r="D34" s="2" t="n"/>
    </row>
    <row r="35" ht="12.75" customFormat="1" customHeight="1" s="76">
      <c r="A35" s="2" t="n"/>
      <c r="B35" s="2" t="n"/>
      <c r="C35" s="2" t="n"/>
      <c r="D35" s="2" t="n"/>
    </row>
    <row r="36" ht="12.75" customFormat="1" customHeight="1" s="76">
      <c r="A36" s="2" t="n"/>
      <c r="B36" s="2" t="n"/>
      <c r="C36" s="2" t="n"/>
      <c r="D36" s="2" t="n"/>
    </row>
    <row r="37" ht="12.75" customFormat="1" customHeight="1" s="76">
      <c r="A37" s="2" t="n"/>
      <c r="B37" s="2" t="n"/>
      <c r="C37" s="2" t="n"/>
      <c r="D37" s="2" t="n"/>
    </row>
    <row r="38" ht="12.75" customFormat="1" customHeight="1" s="76">
      <c r="A38" s="2" t="n"/>
      <c r="B38" s="2" t="n"/>
      <c r="C38" s="2" t="n"/>
      <c r="D38" s="2" t="n"/>
    </row>
    <row r="39" ht="12.75" customFormat="1" customHeight="1" s="76">
      <c r="A39" s="2" t="n"/>
      <c r="B39" s="2" t="n"/>
      <c r="C39" s="2" t="n"/>
      <c r="D39" s="2" t="n"/>
    </row>
    <row r="40" ht="12.75" customFormat="1" customHeight="1" s="76">
      <c r="A40" s="2" t="n"/>
      <c r="B40" s="2" t="n"/>
      <c r="C40" s="2" t="n"/>
      <c r="D40" s="2" t="n"/>
    </row>
    <row r="41" ht="12.75" customFormat="1" customHeight="1" s="76">
      <c r="A41" s="2" t="n"/>
      <c r="B41" s="2" t="n"/>
      <c r="C41" s="2" t="n"/>
      <c r="D41" s="2" t="n"/>
    </row>
    <row r="42" ht="12.75" customFormat="1" customHeight="1" s="76">
      <c r="A42" s="2" t="n"/>
      <c r="B42" s="2" t="n"/>
      <c r="C42" s="2" t="n"/>
      <c r="D42" s="2" t="n"/>
    </row>
    <row r="43" ht="12.75" customFormat="1" customHeight="1" s="76">
      <c r="A43" s="2" t="n"/>
      <c r="B43" s="2" t="n"/>
      <c r="C43" s="2" t="n"/>
      <c r="D43" s="2" t="n"/>
    </row>
    <row r="44" ht="12.75" customFormat="1" customHeight="1" s="76">
      <c r="A44" s="2" t="n"/>
      <c r="B44" s="2" t="n"/>
      <c r="C44" s="2" t="n"/>
      <c r="D44" s="2" t="n"/>
    </row>
    <row r="45" ht="12.75" customFormat="1" customHeight="1" s="76">
      <c r="A45" s="2" t="n"/>
      <c r="B45" s="2" t="n"/>
      <c r="C45" s="2" t="n"/>
      <c r="D45" s="2" t="n"/>
    </row>
    <row r="46" ht="12.75" customFormat="1" customHeight="1" s="76">
      <c r="A46" s="2" t="n"/>
      <c r="B46" s="2" t="n"/>
      <c r="C46" s="2" t="n"/>
      <c r="D46" s="2" t="n"/>
    </row>
    <row r="47" ht="12.75" customFormat="1" customHeight="1" s="76">
      <c r="A47" s="2" t="n"/>
      <c r="B47" s="2" t="n"/>
      <c r="C47" s="2" t="n"/>
      <c r="D47" s="2" t="n"/>
    </row>
    <row r="48" ht="12.75" customFormat="1" customHeight="1" s="76">
      <c r="A48" s="2" t="n"/>
      <c r="B48" s="2" t="n"/>
      <c r="C48" s="2" t="n"/>
      <c r="D48" s="2" t="n"/>
    </row>
    <row r="49" ht="12.75" customFormat="1" customHeight="1" s="76">
      <c r="A49" s="2" t="n"/>
      <c r="B49" s="2" t="n"/>
      <c r="C49" s="2" t="n"/>
      <c r="D49" s="2" t="n"/>
    </row>
    <row r="50" ht="12.75" customFormat="1" customHeight="1" s="76">
      <c r="A50" s="2" t="n"/>
      <c r="B50" s="2" t="n"/>
      <c r="C50" s="2" t="n"/>
      <c r="D50" s="2" t="n"/>
    </row>
    <row r="51" ht="12.75" customFormat="1" customHeight="1" s="76">
      <c r="A51" s="2" t="n"/>
      <c r="B51" s="2" t="n"/>
      <c r="C51" s="2" t="n"/>
      <c r="D51" s="2" t="n"/>
    </row>
    <row r="52" ht="12.75" customFormat="1" customHeight="1" s="76">
      <c r="A52" s="2" t="n"/>
      <c r="B52" s="2" t="n"/>
      <c r="C52" s="2" t="n"/>
      <c r="D52" s="2" t="n"/>
    </row>
    <row r="53" ht="12.75" customFormat="1" customHeight="1" s="76">
      <c r="A53" s="2" t="n"/>
      <c r="B53" s="2" t="n"/>
      <c r="C53" s="2" t="n"/>
      <c r="D53" s="2" t="n"/>
    </row>
    <row r="54" ht="12.75" customFormat="1" customHeight="1" s="76">
      <c r="A54" s="2" t="n"/>
      <c r="B54" s="2" t="n"/>
      <c r="C54" s="2" t="n"/>
      <c r="D54" s="2" t="n"/>
    </row>
    <row r="55" ht="12.75" customFormat="1" customHeight="1" s="76">
      <c r="A55" s="2" t="n"/>
      <c r="B55" s="2" t="n"/>
      <c r="C55" s="2" t="n"/>
      <c r="D55" s="2" t="n"/>
    </row>
    <row r="56" ht="12.75" customFormat="1" customHeight="1" s="76">
      <c r="A56" s="2" t="n"/>
      <c r="B56" s="2" t="n"/>
      <c r="C56" s="2" t="n"/>
      <c r="D56" s="2" t="n"/>
    </row>
    <row r="57" ht="12.75" customFormat="1" customHeight="1" s="76">
      <c r="A57" s="2" t="n"/>
      <c r="B57" s="2" t="n"/>
      <c r="C57" s="2" t="n"/>
      <c r="D57" s="2" t="n"/>
    </row>
    <row r="58" ht="12.75" customFormat="1" customHeight="1" s="76">
      <c r="A58" s="2" t="n"/>
      <c r="B58" s="2" t="n"/>
      <c r="C58" s="2" t="n"/>
      <c r="D58" s="2" t="n"/>
    </row>
    <row r="59" ht="12.75" customFormat="1" customHeight="1" s="76">
      <c r="A59" s="2" t="n"/>
      <c r="B59" s="2" t="n"/>
      <c r="C59" s="2" t="n"/>
      <c r="D59" s="2" t="n"/>
    </row>
    <row r="60" ht="12.75" customFormat="1" customHeight="1" s="76">
      <c r="A60" s="2" t="n"/>
      <c r="B60" s="2" t="n"/>
      <c r="C60" s="2" t="n"/>
      <c r="D60" s="2" t="n"/>
    </row>
    <row r="61" ht="12.75" customFormat="1" customHeight="1" s="76">
      <c r="A61" s="2" t="n"/>
      <c r="B61" s="2" t="n"/>
      <c r="C61" s="2" t="n"/>
      <c r="D61" s="2" t="n"/>
    </row>
    <row r="62" ht="12.75" customFormat="1" customHeight="1" s="76">
      <c r="A62" s="2" t="n"/>
      <c r="B62" s="2" t="n"/>
      <c r="C62" s="2" t="n"/>
      <c r="D62" s="2" t="n"/>
    </row>
    <row r="63" ht="12.75" customFormat="1" customHeight="1" s="76">
      <c r="A63" s="2" t="n"/>
      <c r="B63" s="2" t="n"/>
      <c r="C63" s="2" t="n"/>
      <c r="D63" s="2" t="n"/>
    </row>
    <row r="64" ht="12.75" customFormat="1" customHeight="1" s="76">
      <c r="A64" s="2" t="n"/>
      <c r="B64" s="2" t="n"/>
      <c r="C64" s="2" t="n"/>
      <c r="D64" s="2" t="n"/>
    </row>
    <row r="65" ht="12.75" customFormat="1" customHeight="1" s="76">
      <c r="A65" s="2" t="n"/>
      <c r="B65" s="2" t="n"/>
      <c r="C65" s="2" t="n"/>
      <c r="D65" s="2" t="n"/>
    </row>
    <row r="66" ht="12.75" customFormat="1" customHeight="1" s="76">
      <c r="A66" s="2" t="n"/>
      <c r="B66" s="2" t="n"/>
      <c r="C66" s="2" t="n"/>
      <c r="D66" s="2" t="n"/>
    </row>
    <row r="67" ht="12.75" customFormat="1" customHeight="1" s="76">
      <c r="A67" s="2" t="n"/>
      <c r="B67" s="2" t="n"/>
      <c r="C67" s="2" t="n"/>
      <c r="D67" s="2" t="n"/>
    </row>
    <row r="68" ht="12.75" customFormat="1" customHeight="1" s="76">
      <c r="A68" s="2" t="n"/>
      <c r="B68" s="2" t="n"/>
      <c r="C68" s="2" t="n"/>
      <c r="D68" s="2" t="n"/>
    </row>
    <row r="69" ht="12.75" customFormat="1" customHeight="1" s="76">
      <c r="A69" s="2" t="n"/>
      <c r="B69" s="2" t="n"/>
      <c r="C69" s="2" t="n"/>
      <c r="D69" s="2" t="n"/>
    </row>
    <row r="70" ht="12.75" customFormat="1" customHeight="1" s="76">
      <c r="A70" s="2" t="n"/>
      <c r="B70" s="2" t="n"/>
      <c r="C70" s="2" t="n"/>
      <c r="D70" s="2" t="n"/>
    </row>
    <row r="71" ht="12.75" customFormat="1" customHeight="1" s="76">
      <c r="A71" s="2" t="n"/>
      <c r="B71" s="2" t="n"/>
      <c r="C71" s="2" t="n"/>
      <c r="D71" s="2" t="n"/>
    </row>
    <row r="72" ht="12.75" customFormat="1" customHeight="1" s="76">
      <c r="A72" s="2" t="n"/>
      <c r="B72" s="2" t="n"/>
      <c r="C72" s="2" t="n"/>
      <c r="D72" s="2" t="n"/>
    </row>
    <row r="73" ht="12.75" customFormat="1" customHeight="1" s="76">
      <c r="A73" s="2" t="n"/>
      <c r="B73" s="2" t="n"/>
      <c r="C73" s="2" t="n"/>
      <c r="D73" s="2" t="n"/>
    </row>
    <row r="74" ht="12.75" customFormat="1" customHeight="1" s="76">
      <c r="A74" s="2" t="n"/>
      <c r="B74" s="2" t="n"/>
      <c r="C74" s="2" t="n"/>
      <c r="D74" s="2" t="n"/>
    </row>
    <row r="75" ht="12.75" customFormat="1" customHeight="1" s="76">
      <c r="A75" s="2" t="n"/>
      <c r="B75" s="2" t="n"/>
      <c r="C75" s="2" t="n"/>
      <c r="D75" s="2" t="n"/>
    </row>
    <row r="76" ht="12.75" customFormat="1" customHeight="1" s="76">
      <c r="A76" s="2" t="n"/>
      <c r="B76" s="2" t="n"/>
      <c r="C76" s="2" t="n"/>
      <c r="D76" s="2" t="n"/>
    </row>
    <row r="77" ht="12.75" customFormat="1" customHeight="1" s="76">
      <c r="A77" s="2" t="n"/>
      <c r="B77" s="2" t="n"/>
      <c r="C77" s="2" t="n"/>
      <c r="D77" s="2" t="n"/>
    </row>
    <row r="78" ht="12.75" customFormat="1" customHeight="1" s="76">
      <c r="A78" s="2" t="n"/>
      <c r="B78" s="2" t="n"/>
      <c r="C78" s="2" t="n"/>
      <c r="D78" s="2" t="n"/>
    </row>
    <row r="79" ht="12.75" customFormat="1" customHeight="1" s="76">
      <c r="A79" s="2" t="n"/>
      <c r="B79" s="2" t="n"/>
      <c r="C79" s="2" t="n"/>
      <c r="D79" s="2" t="n"/>
    </row>
    <row r="80" ht="12.75" customFormat="1" customHeight="1" s="76">
      <c r="A80" s="2" t="n"/>
      <c r="B80" s="2" t="n"/>
      <c r="C80" s="2" t="n"/>
      <c r="D80" s="2" t="n"/>
    </row>
    <row r="81" ht="12.75" customFormat="1" customHeight="1" s="76">
      <c r="A81" s="2" t="n"/>
      <c r="B81" s="2" t="n"/>
      <c r="C81" s="2" t="n"/>
      <c r="D81" s="2" t="n"/>
    </row>
    <row r="82" ht="12.75" customFormat="1" customHeight="1" s="76">
      <c r="A82" s="2" t="n"/>
      <c r="B82" s="2" t="n"/>
      <c r="C82" s="2" t="n"/>
      <c r="D82" s="2" t="n"/>
    </row>
    <row r="83" ht="12.75" customFormat="1" customHeight="1" s="76">
      <c r="A83" s="2" t="n"/>
      <c r="B83" s="2" t="n"/>
      <c r="C83" s="2" t="n"/>
      <c r="D83" s="2" t="n"/>
    </row>
    <row r="84" ht="12.75" customFormat="1" customHeight="1" s="76">
      <c r="A84" s="2" t="n"/>
      <c r="B84" s="2" t="n"/>
      <c r="C84" s="2" t="n"/>
      <c r="D84" s="2" t="n"/>
    </row>
    <row r="85" ht="12.75" customFormat="1" customHeight="1" s="76">
      <c r="A85" s="2" t="n"/>
      <c r="B85" s="2" t="n"/>
      <c r="C85" s="2" t="n"/>
      <c r="D85" s="2" t="n"/>
    </row>
    <row r="86" ht="12.75" customFormat="1" customHeight="1" s="76">
      <c r="A86" s="2" t="n"/>
      <c r="B86" s="2" t="n"/>
      <c r="C86" s="2" t="n"/>
      <c r="D86" s="2" t="n"/>
    </row>
    <row r="87" ht="12.75" customFormat="1" customHeight="1" s="76">
      <c r="A87" s="2" t="n"/>
      <c r="B87" s="2" t="n"/>
      <c r="C87" s="2" t="n"/>
      <c r="D87" s="2" t="n"/>
    </row>
    <row r="88" ht="12.75" customFormat="1" customHeight="1" s="76">
      <c r="A88" s="2" t="n"/>
      <c r="B88" s="2" t="n"/>
      <c r="C88" s="2" t="n"/>
      <c r="D88" s="2" t="n"/>
    </row>
    <row r="89" ht="12.75" customFormat="1" customHeight="1" s="76">
      <c r="A89" s="2" t="n"/>
      <c r="B89" s="2" t="n"/>
      <c r="C89" s="2" t="n"/>
      <c r="D89" s="2" t="n"/>
    </row>
    <row r="90" ht="12.75" customFormat="1" customHeight="1" s="76">
      <c r="A90" s="2" t="n"/>
      <c r="B90" s="2" t="n"/>
      <c r="C90" s="2" t="n"/>
      <c r="D90" s="2" t="n"/>
    </row>
    <row r="91" ht="12.75" customFormat="1" customHeight="1" s="76">
      <c r="A91" s="2" t="n"/>
      <c r="B91" s="2" t="n"/>
      <c r="C91" s="2" t="n"/>
      <c r="D91" s="2" t="n"/>
    </row>
    <row r="92" ht="12.75" customFormat="1" customHeight="1" s="76">
      <c r="A92" s="2" t="n"/>
      <c r="B92" s="2" t="n"/>
      <c r="C92" s="2" t="n"/>
      <c r="D92" s="2" t="n"/>
    </row>
    <row r="93" ht="12.75" customFormat="1" customHeight="1" s="76">
      <c r="A93" s="2" t="n"/>
      <c r="B93" s="2" t="n"/>
      <c r="C93" s="2" t="n"/>
      <c r="D93" s="2" t="n"/>
    </row>
    <row r="94" ht="12.75" customFormat="1" customHeight="1" s="76">
      <c r="A94" s="2" t="n"/>
      <c r="B94" s="2" t="n"/>
      <c r="C94" s="2" t="n"/>
      <c r="D94" s="2" t="n"/>
    </row>
    <row r="95" ht="12.75" customFormat="1" customHeight="1" s="76">
      <c r="A95" s="2" t="n"/>
      <c r="B95" s="2" t="n"/>
      <c r="C95" s="2" t="n"/>
      <c r="D95" s="2" t="n"/>
    </row>
    <row r="96" ht="12.75" customFormat="1" customHeight="1" s="76">
      <c r="A96" s="2" t="n"/>
      <c r="B96" s="2" t="n"/>
      <c r="C96" s="2" t="n"/>
      <c r="D96" s="2" t="n"/>
    </row>
    <row r="97" ht="12.75" customFormat="1" customHeight="1" s="76">
      <c r="A97" s="2" t="n"/>
      <c r="B97" s="2" t="n"/>
      <c r="C97" s="2" t="n"/>
      <c r="D97" s="2" t="n"/>
    </row>
    <row r="98" ht="12.75" customFormat="1" customHeight="1" s="76">
      <c r="A98" s="2" t="n"/>
      <c r="B98" s="2" t="n"/>
      <c r="C98" s="2" t="n"/>
      <c r="D98" s="2" t="n"/>
    </row>
    <row r="99" ht="12.75" customFormat="1" customHeight="1" s="76">
      <c r="A99" s="2" t="n"/>
      <c r="B99" s="2" t="n"/>
      <c r="C99" s="2" t="n"/>
      <c r="D99" s="2" t="n"/>
    </row>
    <row r="100" ht="12.75" customFormat="1" customHeight="1" s="76">
      <c r="A100" s="2" t="n"/>
      <c r="B100" s="2" t="n"/>
      <c r="C100" s="2" t="n"/>
      <c r="D100" s="2" t="n"/>
    </row>
    <row r="101" ht="12.75" customFormat="1" customHeight="1" s="76">
      <c r="A101" s="2" t="n"/>
      <c r="B101" s="2" t="n"/>
      <c r="C101" s="2" t="n"/>
      <c r="D101" s="2" t="n"/>
    </row>
    <row r="102" ht="12.75" customFormat="1" customHeight="1" s="76">
      <c r="A102" s="2" t="n"/>
      <c r="B102" s="2" t="n"/>
      <c r="C102" s="2" t="n"/>
      <c r="D102" s="2" t="n"/>
    </row>
    <row r="103" ht="12.75" customFormat="1" customHeight="1" s="76">
      <c r="A103" s="2" t="n"/>
      <c r="B103" s="2" t="n"/>
      <c r="C103" s="2" t="n"/>
      <c r="D103" s="2" t="n"/>
    </row>
    <row r="104" ht="12.75" customFormat="1" customHeight="1" s="76">
      <c r="A104" s="2" t="n"/>
      <c r="B104" s="2" t="n"/>
      <c r="C104" s="2" t="n"/>
      <c r="D104" s="2" t="n"/>
    </row>
    <row r="105" ht="12.75" customFormat="1" customHeight="1" s="76">
      <c r="A105" s="2" t="n"/>
      <c r="B105" s="2" t="n"/>
      <c r="C105" s="2" t="n"/>
      <c r="D105" s="2" t="n"/>
    </row>
    <row r="106" ht="12.75" customFormat="1" customHeight="1" s="76">
      <c r="A106" s="2" t="n"/>
      <c r="B106" s="2" t="n"/>
      <c r="C106" s="2" t="n"/>
      <c r="D106" s="2" t="n"/>
    </row>
    <row r="107" ht="12.75" customFormat="1" customHeight="1" s="76">
      <c r="A107" s="2" t="n"/>
      <c r="B107" s="2" t="n"/>
      <c r="C107" s="2" t="n"/>
      <c r="D107" s="2" t="n"/>
    </row>
    <row r="108" ht="12.75" customFormat="1" customHeight="1" s="76">
      <c r="A108" s="2" t="n"/>
      <c r="B108" s="2" t="n"/>
      <c r="C108" s="2" t="n"/>
      <c r="D108" s="2" t="n"/>
    </row>
    <row r="109" ht="12.75" customFormat="1" customHeight="1" s="76">
      <c r="A109" s="2" t="n"/>
      <c r="B109" s="2" t="n"/>
      <c r="C109" s="2" t="n"/>
      <c r="D109" s="2" t="n"/>
    </row>
    <row r="110" ht="12.75" customFormat="1" customHeight="1" s="76">
      <c r="A110" s="2" t="n"/>
      <c r="B110" s="2" t="n"/>
      <c r="C110" s="2" t="n"/>
      <c r="D110" s="2" t="n"/>
    </row>
    <row r="111" ht="12.75" customFormat="1" customHeight="1" s="76">
      <c r="A111" s="2" t="n"/>
      <c r="B111" s="2" t="n"/>
      <c r="C111" s="2" t="n"/>
      <c r="D111" s="2" t="n"/>
    </row>
    <row r="112" ht="12.75" customFormat="1" customHeight="1" s="76">
      <c r="A112" s="2" t="n"/>
      <c r="B112" s="2" t="n"/>
      <c r="C112" s="2" t="n"/>
      <c r="D112" s="2" t="n"/>
    </row>
    <row r="113" ht="12.75" customFormat="1" customHeight="1" s="76">
      <c r="A113" s="2" t="n"/>
      <c r="B113" s="2" t="n"/>
      <c r="C113" s="2" t="n"/>
      <c r="D113" s="2" t="n"/>
    </row>
    <row r="114" ht="12.75" customFormat="1" customHeight="1" s="76">
      <c r="A114" s="2" t="n"/>
      <c r="B114" s="2" t="n"/>
      <c r="C114" s="2" t="n"/>
      <c r="D114" s="2" t="n"/>
    </row>
    <row r="115" ht="12.75" customFormat="1" customHeight="1" s="76">
      <c r="A115" s="2" t="n"/>
      <c r="B115" s="2" t="n"/>
      <c r="C115" s="2" t="n"/>
      <c r="D115" s="2" t="n"/>
    </row>
    <row r="116" ht="12.75" customFormat="1" customHeight="1" s="76">
      <c r="A116" s="2" t="n"/>
      <c r="B116" s="2" t="n"/>
      <c r="C116" s="2" t="n"/>
      <c r="D116" s="2" t="n"/>
    </row>
    <row r="117" ht="12.75" customFormat="1" customHeight="1" s="76">
      <c r="A117" s="2" t="n"/>
      <c r="B117" s="2" t="n"/>
      <c r="C117" s="2" t="n"/>
      <c r="D117" s="2" t="n"/>
    </row>
    <row r="118" ht="12.75" customFormat="1" customHeight="1" s="76">
      <c r="A118" s="2" t="n"/>
      <c r="B118" s="2" t="n"/>
      <c r="C118" s="2" t="n"/>
      <c r="D118" s="2" t="n"/>
    </row>
    <row r="119" ht="12.75" customFormat="1" customHeight="1" s="76">
      <c r="A119" s="2" t="n"/>
      <c r="B119" s="2" t="n"/>
      <c r="C119" s="2" t="n"/>
      <c r="D119" s="2" t="n"/>
    </row>
    <row r="120" ht="12.75" customFormat="1" customHeight="1" s="76">
      <c r="A120" s="2" t="n"/>
      <c r="B120" s="2" t="n"/>
      <c r="C120" s="2" t="n"/>
      <c r="D120" s="2" t="n"/>
    </row>
    <row r="121" ht="12.75" customFormat="1" customHeight="1" s="76">
      <c r="A121" s="2" t="n"/>
      <c r="B121" s="2" t="n"/>
      <c r="C121" s="2" t="n"/>
      <c r="D121" s="2" t="n"/>
    </row>
    <row r="122" ht="12.75" customFormat="1" customHeight="1" s="76">
      <c r="A122" s="2" t="n"/>
      <c r="B122" s="2" t="n"/>
      <c r="C122" s="2" t="n"/>
      <c r="D122" s="2" t="n"/>
    </row>
    <row r="123" ht="12.75" customFormat="1" customHeight="1" s="76">
      <c r="A123" s="2" t="n"/>
      <c r="B123" s="2" t="n"/>
      <c r="C123" s="2" t="n"/>
      <c r="D123" s="2" t="n"/>
    </row>
    <row r="124" ht="12.75" customFormat="1" customHeight="1" s="76">
      <c r="A124" s="2" t="n"/>
      <c r="B124" s="2" t="n"/>
      <c r="C124" s="2" t="n"/>
      <c r="D124" s="2" t="n"/>
    </row>
    <row r="125" ht="12.75" customFormat="1" customHeight="1" s="76">
      <c r="A125" s="2" t="n"/>
      <c r="B125" s="2" t="n"/>
      <c r="C125" s="2" t="n"/>
      <c r="D125" s="2" t="n"/>
    </row>
    <row r="126" ht="12.75" customFormat="1" customHeight="1" s="76">
      <c r="A126" s="2" t="n"/>
      <c r="B126" s="2" t="n"/>
      <c r="C126" s="2" t="n"/>
      <c r="D126" s="2" t="n"/>
    </row>
    <row r="127" ht="12.75" customFormat="1" customHeight="1" s="76">
      <c r="A127" s="2" t="n"/>
      <c r="B127" s="2" t="n"/>
      <c r="C127" s="2" t="n"/>
      <c r="D127" s="2" t="n"/>
    </row>
    <row r="128" ht="12.75" customFormat="1" customHeight="1" s="76">
      <c r="A128" s="2" t="n"/>
      <c r="B128" s="2" t="n"/>
      <c r="C128" s="2" t="n"/>
      <c r="D128" s="2" t="n"/>
    </row>
    <row r="129" ht="12.75" customFormat="1" customHeight="1" s="76">
      <c r="A129" s="2" t="n"/>
      <c r="B129" s="2" t="n"/>
      <c r="C129" s="2" t="n"/>
      <c r="D129" s="2" t="n"/>
    </row>
    <row r="130" ht="12.75" customFormat="1" customHeight="1" s="76">
      <c r="A130" s="2" t="n"/>
      <c r="B130" s="2" t="n"/>
      <c r="C130" s="2" t="n"/>
      <c r="D130" s="2" t="n"/>
    </row>
    <row r="131" ht="12.75" customFormat="1" customHeight="1" s="76">
      <c r="A131" s="2" t="n"/>
      <c r="B131" s="2" t="n"/>
      <c r="C131" s="2" t="n"/>
      <c r="D131" s="2" t="n"/>
    </row>
    <row r="132" ht="12.75" customFormat="1" customHeight="1" s="76">
      <c r="A132" s="2" t="n"/>
      <c r="B132" s="2" t="n"/>
      <c r="C132" s="2" t="n"/>
      <c r="D132" s="2" t="n"/>
    </row>
    <row r="133" ht="12.75" customFormat="1" customHeight="1" s="76">
      <c r="A133" s="2" t="n"/>
      <c r="B133" s="2" t="n"/>
      <c r="C133" s="2" t="n"/>
      <c r="D133" s="2" t="n"/>
    </row>
    <row r="134" ht="12.75" customFormat="1" customHeight="1" s="76">
      <c r="A134" s="2" t="n"/>
      <c r="B134" s="2" t="n"/>
      <c r="C134" s="2" t="n"/>
      <c r="D134" s="2" t="n"/>
    </row>
    <row r="135" ht="12.75" customFormat="1" customHeight="1" s="76">
      <c r="A135" s="2" t="n"/>
      <c r="B135" s="2" t="n"/>
      <c r="C135" s="2" t="n"/>
      <c r="D135" s="2" t="n"/>
    </row>
    <row r="136" ht="12.75" customFormat="1" customHeight="1" s="76">
      <c r="A136" s="2" t="n"/>
      <c r="B136" s="2" t="n"/>
      <c r="C136" s="2" t="n"/>
      <c r="D136" s="2" t="n"/>
    </row>
    <row r="137" ht="12.75" customFormat="1" customHeight="1" s="76">
      <c r="A137" s="2" t="n"/>
      <c r="B137" s="2" t="n"/>
      <c r="C137" s="2" t="n"/>
      <c r="D137" s="2" t="n"/>
    </row>
    <row r="138" ht="12.75" customFormat="1" customHeight="1" s="76">
      <c r="A138" s="2" t="n"/>
      <c r="B138" s="2" t="n"/>
      <c r="C138" s="2" t="n"/>
      <c r="D138" s="2" t="n"/>
    </row>
    <row r="139" ht="12.75" customFormat="1" customHeight="1" s="76">
      <c r="A139" s="2" t="n"/>
      <c r="B139" s="2" t="n"/>
      <c r="C139" s="2" t="n"/>
      <c r="D139" s="2" t="n"/>
    </row>
    <row r="140" ht="12.75" customFormat="1" customHeight="1" s="76">
      <c r="A140" s="2" t="n"/>
      <c r="B140" s="2" t="n"/>
      <c r="C140" s="2" t="n"/>
      <c r="D140" s="2" t="n"/>
    </row>
    <row r="141" ht="12.75" customFormat="1" customHeight="1" s="76">
      <c r="A141" s="2" t="n"/>
      <c r="B141" s="2" t="n"/>
      <c r="C141" s="2" t="n"/>
      <c r="D141" s="2" t="n"/>
    </row>
    <row r="142" ht="12.75" customFormat="1" customHeight="1" s="76">
      <c r="A142" s="2" t="n"/>
      <c r="B142" s="2" t="n"/>
      <c r="C142" s="2" t="n"/>
      <c r="D142" s="2" t="n"/>
    </row>
    <row r="143" ht="12.75" customFormat="1" customHeight="1" s="76">
      <c r="A143" s="2" t="n"/>
      <c r="B143" s="2" t="n"/>
      <c r="C143" s="2" t="n"/>
      <c r="D143" s="2" t="n"/>
    </row>
    <row r="144" ht="12.75" customFormat="1" customHeight="1" s="76">
      <c r="A144" s="2" t="n"/>
      <c r="B144" s="2" t="n"/>
      <c r="C144" s="2" t="n"/>
      <c r="D144" s="2" t="n"/>
    </row>
    <row r="145" ht="12.75" customFormat="1" customHeight="1" s="76">
      <c r="A145" s="2" t="n"/>
      <c r="B145" s="2" t="n"/>
      <c r="C145" s="2" t="n"/>
      <c r="D145" s="2" t="n"/>
    </row>
    <row r="146" ht="12.75" customFormat="1" customHeight="1" s="76">
      <c r="A146" s="2" t="n"/>
      <c r="B146" s="2" t="n"/>
      <c r="C146" s="2" t="n"/>
      <c r="D146" s="2" t="n"/>
    </row>
    <row r="147" ht="12.75" customFormat="1" customHeight="1" s="76">
      <c r="A147" s="2" t="n"/>
      <c r="B147" s="2" t="n"/>
      <c r="C147" s="2" t="n"/>
      <c r="D147" s="2" t="n"/>
    </row>
    <row r="148" ht="12.75" customFormat="1" customHeight="1" s="76">
      <c r="A148" s="2" t="n"/>
      <c r="B148" s="2" t="n"/>
      <c r="C148" s="2" t="n"/>
      <c r="D148" s="2" t="n"/>
    </row>
    <row r="149" ht="12.75" customFormat="1" customHeight="1" s="76">
      <c r="A149" s="2" t="n"/>
      <c r="B149" s="2" t="n"/>
      <c r="C149" s="2" t="n"/>
      <c r="D149" s="2" t="n"/>
    </row>
    <row r="150" ht="12.75" customFormat="1" customHeight="1" s="76">
      <c r="A150" s="2" t="n"/>
      <c r="B150" s="2" t="n"/>
      <c r="C150" s="2" t="n"/>
      <c r="D150" s="2" t="n"/>
    </row>
    <row r="151" ht="12.75" customFormat="1" customHeight="1" s="76">
      <c r="A151" s="2" t="n"/>
      <c r="B151" s="2" t="n"/>
      <c r="C151" s="2" t="n"/>
      <c r="D151" s="2" t="n"/>
    </row>
    <row r="152" ht="12.75" customFormat="1" customHeight="1" s="76">
      <c r="A152" s="2" t="n"/>
      <c r="B152" s="2" t="n"/>
      <c r="C152" s="2" t="n"/>
      <c r="D152" s="2" t="n"/>
    </row>
    <row r="153" ht="12.75" customFormat="1" customHeight="1" s="76">
      <c r="A153" s="2" t="n"/>
      <c r="B153" s="2" t="n"/>
      <c r="C153" s="2" t="n"/>
      <c r="D153" s="2" t="n"/>
    </row>
    <row r="154" ht="12.75" customFormat="1" customHeight="1" s="76">
      <c r="A154" s="2" t="n"/>
      <c r="B154" s="2" t="n"/>
      <c r="C154" s="2" t="n"/>
      <c r="D154" s="2" t="n"/>
    </row>
    <row r="155" ht="12.75" customFormat="1" customHeight="1" s="76">
      <c r="A155" s="2" t="n"/>
      <c r="B155" s="2" t="n"/>
      <c r="C155" s="2" t="n"/>
      <c r="D155" s="2" t="n"/>
    </row>
    <row r="156" ht="12.75" customFormat="1" customHeight="1" s="76">
      <c r="A156" s="2" t="n"/>
      <c r="B156" s="2" t="n"/>
      <c r="C156" s="2" t="n"/>
      <c r="D156" s="2" t="n"/>
    </row>
    <row r="157" ht="12.75" customFormat="1" customHeight="1" s="76">
      <c r="A157" s="2" t="n"/>
      <c r="B157" s="2" t="n"/>
      <c r="C157" s="2" t="n"/>
      <c r="D157" s="2" t="n"/>
    </row>
    <row r="158" ht="12.75" customFormat="1" customHeight="1" s="76">
      <c r="A158" s="2" t="n"/>
      <c r="B158" s="2" t="n"/>
      <c r="C158" s="2" t="n"/>
      <c r="D158" s="2" t="n"/>
    </row>
    <row r="159" ht="12.75" customFormat="1" customHeight="1" s="76">
      <c r="A159" s="2" t="n"/>
      <c r="B159" s="2" t="n"/>
      <c r="C159" s="2" t="n"/>
      <c r="D159" s="2" t="n"/>
    </row>
    <row r="160" ht="12.75" customFormat="1" customHeight="1" s="76">
      <c r="A160" s="2" t="n"/>
      <c r="B160" s="2" t="n"/>
      <c r="C160" s="2" t="n"/>
      <c r="D160" s="2" t="n"/>
    </row>
    <row r="161" ht="12.75" customFormat="1" customHeight="1" s="76">
      <c r="A161" s="2" t="n"/>
      <c r="B161" s="2" t="n"/>
      <c r="C161" s="2" t="n"/>
      <c r="D161" s="2" t="n"/>
    </row>
    <row r="162" ht="12.75" customFormat="1" customHeight="1" s="76">
      <c r="A162" s="2" t="n"/>
      <c r="B162" s="2" t="n"/>
      <c r="C162" s="2" t="n"/>
      <c r="D162" s="2" t="n"/>
    </row>
    <row r="163" ht="12.75" customFormat="1" customHeight="1" s="76">
      <c r="A163" s="2" t="n"/>
      <c r="B163" s="2" t="n"/>
      <c r="C163" s="2" t="n"/>
      <c r="D163" s="2" t="n"/>
    </row>
    <row r="164" ht="12.75" customFormat="1" customHeight="1" s="76">
      <c r="A164" s="2" t="n"/>
      <c r="B164" s="2" t="n"/>
      <c r="C164" s="2" t="n"/>
      <c r="D164" s="2" t="n"/>
    </row>
    <row r="165" ht="12.75" customFormat="1" customHeight="1" s="76">
      <c r="A165" s="2" t="n"/>
      <c r="B165" s="2" t="n"/>
      <c r="C165" s="2" t="n"/>
      <c r="D165" s="2" t="n"/>
    </row>
    <row r="166" ht="12.75" customFormat="1" customHeight="1" s="76">
      <c r="A166" s="2" t="n"/>
      <c r="B166" s="2" t="n"/>
      <c r="C166" s="2" t="n"/>
      <c r="D166" s="2" t="n"/>
    </row>
    <row r="167" ht="12.75" customFormat="1" customHeight="1" s="76">
      <c r="A167" s="2" t="n"/>
      <c r="B167" s="2" t="n"/>
      <c r="C167" s="2" t="n"/>
      <c r="D167" s="2" t="n"/>
    </row>
    <row r="168" ht="12.75" customFormat="1" customHeight="1" s="76">
      <c r="A168" s="2" t="n"/>
      <c r="B168" s="2" t="n"/>
      <c r="C168" s="2" t="n"/>
      <c r="D168" s="2" t="n"/>
    </row>
    <row r="169" ht="12.75" customFormat="1" customHeight="1" s="76">
      <c r="A169" s="2" t="n"/>
      <c r="B169" s="2" t="n"/>
      <c r="C169" s="2" t="n"/>
      <c r="D169" s="2" t="n"/>
    </row>
    <row r="170" ht="12.75" customFormat="1" customHeight="1" s="76">
      <c r="A170" s="2" t="n"/>
      <c r="B170" s="2" t="n"/>
      <c r="C170" s="2" t="n"/>
      <c r="D170" s="2" t="n"/>
    </row>
    <row r="171" ht="12.75" customFormat="1" customHeight="1" s="76">
      <c r="A171" s="2" t="n"/>
      <c r="B171" s="2" t="n"/>
      <c r="C171" s="2" t="n"/>
      <c r="D171" s="2" t="n"/>
    </row>
    <row r="172" ht="12.75" customFormat="1" customHeight="1" s="76">
      <c r="A172" s="2" t="n"/>
      <c r="B172" s="2" t="n"/>
      <c r="C172" s="2" t="n"/>
      <c r="D172" s="2" t="n"/>
    </row>
    <row r="173" ht="12.75" customFormat="1" customHeight="1" s="76">
      <c r="A173" s="2" t="n"/>
      <c r="B173" s="2" t="n"/>
      <c r="C173" s="2" t="n"/>
      <c r="D173" s="2" t="n"/>
    </row>
    <row r="174" ht="12.75" customFormat="1" customHeight="1" s="76">
      <c r="A174" s="2" t="n"/>
      <c r="B174" s="2" t="n"/>
      <c r="C174" s="2" t="n"/>
      <c r="D174" s="2" t="n"/>
    </row>
    <row r="175" ht="12.75" customFormat="1" customHeight="1" s="76">
      <c r="A175" s="2" t="n"/>
      <c r="B175" s="2" t="n"/>
      <c r="C175" s="2" t="n"/>
      <c r="D175" s="2" t="n"/>
    </row>
    <row r="176" ht="12.75" customFormat="1" customHeight="1" s="76">
      <c r="A176" s="2" t="n"/>
      <c r="B176" s="2" t="n"/>
      <c r="C176" s="2" t="n"/>
      <c r="D176" s="2" t="n"/>
    </row>
    <row r="177" ht="12.75" customFormat="1" customHeight="1" s="76">
      <c r="A177" s="2" t="n"/>
      <c r="B177" s="2" t="n"/>
      <c r="C177" s="2" t="n"/>
      <c r="D177" s="2" t="n"/>
    </row>
    <row r="178" ht="12.75" customFormat="1" customHeight="1" s="76">
      <c r="A178" s="2" t="n"/>
      <c r="B178" s="2" t="n"/>
      <c r="C178" s="2" t="n"/>
      <c r="D178" s="2" t="n"/>
    </row>
    <row r="179" ht="12.75" customFormat="1" customHeight="1" s="76">
      <c r="A179" s="2" t="n"/>
      <c r="B179" s="2" t="n"/>
      <c r="C179" s="2" t="n"/>
      <c r="D179" s="2" t="n"/>
    </row>
    <row r="180" ht="12.75" customFormat="1" customHeight="1" s="76">
      <c r="A180" s="2" t="n"/>
      <c r="B180" s="2" t="n"/>
      <c r="C180" s="2" t="n"/>
      <c r="D180" s="2" t="n"/>
    </row>
    <row r="181" ht="12.75" customFormat="1" customHeight="1" s="76">
      <c r="A181" s="2" t="n"/>
      <c r="B181" s="2" t="n"/>
      <c r="C181" s="2" t="n"/>
      <c r="D181" s="2" t="n"/>
    </row>
    <row r="182" ht="12.75" customFormat="1" customHeight="1" s="76">
      <c r="A182" s="2" t="n"/>
      <c r="B182" s="2" t="n"/>
      <c r="C182" s="2" t="n"/>
      <c r="D182" s="2" t="n"/>
    </row>
    <row r="183" ht="12.75" customFormat="1" customHeight="1" s="76">
      <c r="A183" s="2" t="n"/>
      <c r="B183" s="2" t="n"/>
      <c r="C183" s="2" t="n"/>
      <c r="D183" s="2" t="n"/>
    </row>
    <row r="184" ht="12.75" customFormat="1" customHeight="1" s="76">
      <c r="A184" s="2" t="n"/>
      <c r="B184" s="2" t="n"/>
      <c r="C184" s="2" t="n"/>
      <c r="D184" s="2" t="n"/>
    </row>
    <row r="185" ht="12.75" customFormat="1" customHeight="1" s="76">
      <c r="A185" s="2" t="n"/>
      <c r="B185" s="2" t="n"/>
      <c r="C185" s="2" t="n"/>
      <c r="D185" s="2" t="n"/>
    </row>
    <row r="186" ht="12.75" customFormat="1" customHeight="1" s="76">
      <c r="A186" s="2" t="n"/>
      <c r="B186" s="2" t="n"/>
      <c r="C186" s="2" t="n"/>
      <c r="D186" s="2" t="n"/>
    </row>
    <row r="187" ht="12.75" customFormat="1" customHeight="1" s="76">
      <c r="A187" s="2" t="n"/>
      <c r="B187" s="2" t="n"/>
      <c r="C187" s="2" t="n"/>
      <c r="D187" s="2" t="n"/>
    </row>
    <row r="188" ht="12.75" customFormat="1" customHeight="1" s="76">
      <c r="A188" s="2" t="n"/>
      <c r="B188" s="2" t="n"/>
      <c r="C188" s="2" t="n"/>
      <c r="D188" s="2" t="n"/>
    </row>
    <row r="189" ht="12.75" customFormat="1" customHeight="1" s="76">
      <c r="A189" s="2" t="n"/>
      <c r="B189" s="2" t="n"/>
      <c r="C189" s="2" t="n"/>
      <c r="D189" s="2" t="n"/>
    </row>
    <row r="190" ht="12.75" customFormat="1" customHeight="1" s="76">
      <c r="A190" s="2" t="n"/>
      <c r="B190" s="2" t="n"/>
      <c r="C190" s="2" t="n"/>
      <c r="D190" s="2" t="n"/>
    </row>
    <row r="191" ht="12.75" customFormat="1" customHeight="1" s="76">
      <c r="A191" s="2" t="n"/>
      <c r="B191" s="2" t="n"/>
      <c r="C191" s="2" t="n"/>
      <c r="D191" s="2" t="n"/>
    </row>
    <row r="192" ht="12.75" customFormat="1" customHeight="1" s="76">
      <c r="A192" s="2" t="n"/>
      <c r="B192" s="2" t="n"/>
      <c r="C192" s="2" t="n"/>
      <c r="D192" s="2" t="n"/>
    </row>
    <row r="193" ht="12.75" customFormat="1" customHeight="1" s="76">
      <c r="A193" s="2" t="n"/>
      <c r="B193" s="2" t="n"/>
      <c r="C193" s="2" t="n"/>
      <c r="D193" s="2" t="n"/>
    </row>
    <row r="194" ht="12.75" customFormat="1" customHeight="1" s="76">
      <c r="A194" s="2" t="n"/>
      <c r="B194" s="2" t="n"/>
      <c r="C194" s="2" t="n"/>
      <c r="D194" s="2" t="n"/>
    </row>
    <row r="195" ht="12.75" customFormat="1" customHeight="1" s="76">
      <c r="A195" s="2" t="n"/>
      <c r="B195" s="2" t="n"/>
      <c r="C195" s="2" t="n"/>
      <c r="D195" s="2" t="n"/>
    </row>
    <row r="196" ht="12.75" customFormat="1" customHeight="1" s="76">
      <c r="A196" s="2" t="n"/>
      <c r="B196" s="2" t="n"/>
      <c r="C196" s="2" t="n"/>
      <c r="D196" s="2" t="n"/>
    </row>
    <row r="197" ht="12.75" customFormat="1" customHeight="1" s="76">
      <c r="A197" s="2" t="n"/>
      <c r="B197" s="2" t="n"/>
      <c r="C197" s="2" t="n"/>
      <c r="D197" s="2" t="n"/>
    </row>
    <row r="198" ht="12.75" customFormat="1" customHeight="1" s="76">
      <c r="A198" s="2" t="n"/>
      <c r="B198" s="2" t="n"/>
      <c r="C198" s="2" t="n"/>
      <c r="D198" s="2" t="n"/>
    </row>
    <row r="199" ht="12.75" customFormat="1" customHeight="1" s="76">
      <c r="A199" s="2" t="n"/>
      <c r="B199" s="2" t="n"/>
      <c r="C199" s="2" t="n"/>
      <c r="D199" s="2" t="n"/>
    </row>
    <row r="200" ht="12.75" customFormat="1" customHeight="1" s="76">
      <c r="A200" s="2" t="n"/>
      <c r="B200" s="2" t="n"/>
      <c r="C200" s="2" t="n"/>
      <c r="D200" s="2" t="n"/>
    </row>
    <row r="201" ht="12.75" customFormat="1" customHeight="1" s="76">
      <c r="A201" s="2" t="n"/>
      <c r="B201" s="2" t="n"/>
      <c r="C201" s="2" t="n"/>
      <c r="D201" s="2" t="n"/>
    </row>
    <row r="202" ht="12.75" customFormat="1" customHeight="1" s="76">
      <c r="A202" s="2" t="n"/>
      <c r="B202" s="2" t="n"/>
      <c r="C202" s="2" t="n"/>
      <c r="D202" s="2" t="n"/>
    </row>
    <row r="203" ht="12.75" customFormat="1" customHeight="1" s="76">
      <c r="A203" s="2" t="n"/>
      <c r="B203" s="2" t="n"/>
      <c r="C203" s="2" t="n"/>
      <c r="D203" s="2" t="n"/>
    </row>
    <row r="204" ht="12.75" customFormat="1" customHeight="1" s="76">
      <c r="A204" s="2" t="n"/>
      <c r="B204" s="2" t="n"/>
      <c r="C204" s="2" t="n"/>
      <c r="D204" s="2" t="n"/>
    </row>
    <row r="205" ht="12.75" customFormat="1" customHeight="1" s="76">
      <c r="A205" s="2" t="n"/>
      <c r="B205" s="2" t="n"/>
      <c r="C205" s="2" t="n"/>
      <c r="D205" s="2" t="n"/>
    </row>
    <row r="206" ht="12.75" customFormat="1" customHeight="1" s="76">
      <c r="A206" s="2" t="n"/>
      <c r="B206" s="2" t="n"/>
      <c r="C206" s="2" t="n"/>
      <c r="D206" s="2" t="n"/>
    </row>
    <row r="207" ht="12.75" customFormat="1" customHeight="1" s="76">
      <c r="A207" s="2" t="n"/>
      <c r="B207" s="2" t="n"/>
      <c r="C207" s="2" t="n"/>
      <c r="D207" s="2" t="n"/>
    </row>
    <row r="208" ht="12.75" customFormat="1" customHeight="1" s="76">
      <c r="A208" s="2" t="n"/>
      <c r="B208" s="2" t="n"/>
      <c r="C208" s="2" t="n"/>
      <c r="D208" s="2" t="n"/>
    </row>
    <row r="209" ht="12.75" customFormat="1" customHeight="1" s="76">
      <c r="A209" s="2" t="n"/>
      <c r="B209" s="2" t="n"/>
      <c r="C209" s="2" t="n"/>
      <c r="D209" s="2" t="n"/>
    </row>
    <row r="210" ht="12.75" customFormat="1" customHeight="1" s="76">
      <c r="A210" s="2" t="n"/>
      <c r="B210" s="2" t="n"/>
      <c r="C210" s="2" t="n"/>
      <c r="D210" s="2" t="n"/>
    </row>
    <row r="211" ht="12.75" customFormat="1" customHeight="1" s="76">
      <c r="A211" s="2" t="n"/>
      <c r="B211" s="2" t="n"/>
      <c r="C211" s="2" t="n"/>
      <c r="D211" s="2" t="n"/>
    </row>
    <row r="212" ht="12.75" customFormat="1" customHeight="1" s="76">
      <c r="A212" s="2" t="n"/>
      <c r="B212" s="2" t="n"/>
      <c r="C212" s="2" t="n"/>
      <c r="D212" s="2" t="n"/>
    </row>
    <row r="213" ht="12.75" customFormat="1" customHeight="1" s="76">
      <c r="A213" s="2" t="n"/>
      <c r="B213" s="2" t="n"/>
      <c r="C213" s="2" t="n"/>
      <c r="D213" s="2" t="n"/>
    </row>
    <row r="214" ht="12.75" customFormat="1" customHeight="1" s="76">
      <c r="A214" s="2" t="n"/>
      <c r="B214" s="2" t="n"/>
      <c r="C214" s="2" t="n"/>
      <c r="D214" s="2" t="n"/>
    </row>
    <row r="215" ht="12.75" customFormat="1" customHeight="1" s="76">
      <c r="A215" s="2" t="n"/>
      <c r="B215" s="2" t="n"/>
      <c r="C215" s="2" t="n"/>
      <c r="D215" s="2" t="n"/>
    </row>
    <row r="216" ht="12.75" customFormat="1" customHeight="1" s="76">
      <c r="A216" s="2" t="n"/>
      <c r="B216" s="2" t="n"/>
      <c r="C216" s="2" t="n"/>
      <c r="D216" s="2" t="n"/>
    </row>
    <row r="217" ht="12.75" customFormat="1" customHeight="1" s="76">
      <c r="A217" s="2" t="n"/>
      <c r="B217" s="2" t="n"/>
      <c r="C217" s="2" t="n"/>
      <c r="D217" s="2" t="n"/>
    </row>
    <row r="218" ht="12.75" customFormat="1" customHeight="1" s="76">
      <c r="A218" s="2" t="n"/>
      <c r="B218" s="2" t="n"/>
      <c r="C218" s="2" t="n"/>
      <c r="D218" s="2" t="n"/>
    </row>
    <row r="219" ht="12.75" customFormat="1" customHeight="1" s="76">
      <c r="A219" s="2" t="n"/>
      <c r="B219" s="2" t="n"/>
      <c r="C219" s="2" t="n"/>
      <c r="D219" s="2" t="n"/>
    </row>
    <row r="220" ht="12.75" customFormat="1" customHeight="1" s="76">
      <c r="A220" s="2" t="n"/>
      <c r="B220" s="2" t="n"/>
      <c r="C220" s="2" t="n"/>
      <c r="D220" s="2" t="n"/>
    </row>
    <row r="221" ht="12.75" customFormat="1" customHeight="1" s="76">
      <c r="A221" s="2" t="n"/>
      <c r="B221" s="2" t="n"/>
      <c r="C221" s="2" t="n"/>
      <c r="D221" s="2" t="n"/>
    </row>
    <row r="222" ht="12.75" customFormat="1" customHeight="1" s="76">
      <c r="A222" s="2" t="n"/>
      <c r="B222" s="2" t="n"/>
      <c r="C222" s="2" t="n"/>
      <c r="D222" s="2" t="n"/>
    </row>
    <row r="223" ht="12.75" customFormat="1" customHeight="1" s="76">
      <c r="A223" s="2" t="n"/>
      <c r="B223" s="2" t="n"/>
      <c r="C223" s="2" t="n"/>
      <c r="D223" s="2" t="n"/>
    </row>
    <row r="224" ht="12.75" customFormat="1" customHeight="1" s="76">
      <c r="A224" s="2" t="n"/>
      <c r="B224" s="2" t="n"/>
      <c r="C224" s="2" t="n"/>
      <c r="D224" s="2" t="n"/>
    </row>
    <row r="225" ht="12.75" customFormat="1" customHeight="1" s="76">
      <c r="A225" s="2" t="n"/>
      <c r="B225" s="2" t="n"/>
      <c r="C225" s="2" t="n"/>
      <c r="D225" s="2" t="n"/>
    </row>
    <row r="226" ht="12.75" customFormat="1" customHeight="1" s="76">
      <c r="A226" s="2" t="n"/>
      <c r="B226" s="2" t="n"/>
      <c r="C226" s="2" t="n"/>
      <c r="D226" s="2" t="n"/>
    </row>
    <row r="227" ht="12.75" customFormat="1" customHeight="1" s="76">
      <c r="A227" s="2" t="n"/>
      <c r="B227" s="2" t="n"/>
      <c r="C227" s="2" t="n"/>
      <c r="D227" s="2" t="n"/>
    </row>
    <row r="228" ht="12.75" customFormat="1" customHeight="1" s="76">
      <c r="A228" s="2" t="n"/>
      <c r="B228" s="2" t="n"/>
      <c r="C228" s="2" t="n"/>
      <c r="D228" s="2" t="n"/>
    </row>
    <row r="229" ht="12.75" customFormat="1" customHeight="1" s="76">
      <c r="A229" s="2" t="n"/>
      <c r="B229" s="2" t="n"/>
      <c r="C229" s="2" t="n"/>
      <c r="D229" s="2" t="n"/>
    </row>
    <row r="230" ht="12.75" customFormat="1" customHeight="1" s="76">
      <c r="A230" s="2" t="n"/>
      <c r="B230" s="2" t="n"/>
      <c r="C230" s="2" t="n"/>
      <c r="D230" s="2" t="n"/>
    </row>
    <row r="231" ht="12.75" customFormat="1" customHeight="1" s="76">
      <c r="A231" s="2" t="n"/>
      <c r="B231" s="2" t="n"/>
      <c r="C231" s="2" t="n"/>
      <c r="D231" s="2" t="n"/>
    </row>
    <row r="232" ht="12.75" customFormat="1" customHeight="1" s="76">
      <c r="A232" s="2" t="n"/>
      <c r="B232" s="2" t="n"/>
      <c r="C232" s="2" t="n"/>
      <c r="D232" s="2" t="n"/>
    </row>
    <row r="233" ht="12.75" customFormat="1" customHeight="1" s="76">
      <c r="A233" s="2" t="n"/>
      <c r="B233" s="2" t="n"/>
      <c r="C233" s="2" t="n"/>
      <c r="D233" s="2" t="n"/>
    </row>
    <row r="234" ht="12.75" customFormat="1" customHeight="1" s="76">
      <c r="A234" s="2" t="n"/>
      <c r="B234" s="2" t="n"/>
      <c r="C234" s="2" t="n"/>
      <c r="D234" s="2" t="n"/>
    </row>
    <row r="235" ht="12.75" customFormat="1" customHeight="1" s="76">
      <c r="A235" s="2" t="n"/>
      <c r="B235" s="2" t="n"/>
      <c r="C235" s="2" t="n"/>
      <c r="D235" s="2" t="n"/>
    </row>
    <row r="236" ht="12.75" customFormat="1" customHeight="1" s="76">
      <c r="A236" s="2" t="n"/>
      <c r="B236" s="2" t="n"/>
      <c r="C236" s="2" t="n"/>
      <c r="D236" s="2" t="n"/>
    </row>
    <row r="237" ht="12.75" customFormat="1" customHeight="1" s="76">
      <c r="A237" s="2" t="n"/>
      <c r="B237" s="2" t="n"/>
      <c r="C237" s="2" t="n"/>
      <c r="D237" s="2" t="n"/>
    </row>
    <row r="238" ht="12.75" customFormat="1" customHeight="1" s="76">
      <c r="A238" s="2" t="n"/>
      <c r="B238" s="2" t="n"/>
      <c r="C238" s="2" t="n"/>
      <c r="D238" s="2" t="n"/>
    </row>
    <row r="239" ht="12.75" customFormat="1" customHeight="1" s="76">
      <c r="A239" s="2" t="n"/>
      <c r="B239" s="2" t="n"/>
      <c r="C239" s="2" t="n"/>
      <c r="D239" s="2" t="n"/>
    </row>
    <row r="240" ht="12.75" customFormat="1" customHeight="1" s="76">
      <c r="A240" s="2" t="n"/>
      <c r="B240" s="2" t="n"/>
      <c r="C240" s="2" t="n"/>
      <c r="D240" s="2" t="n"/>
    </row>
    <row r="241" ht="12.75" customFormat="1" customHeight="1" s="76">
      <c r="A241" s="2" t="n"/>
      <c r="B241" s="2" t="n"/>
      <c r="C241" s="2" t="n"/>
      <c r="D241" s="2" t="n"/>
    </row>
    <row r="242" ht="12.75" customFormat="1" customHeight="1" s="76">
      <c r="A242" s="2" t="n"/>
      <c r="B242" s="2" t="n"/>
      <c r="C242" s="2" t="n"/>
      <c r="D242" s="2" t="n"/>
    </row>
    <row r="243" ht="12.75" customFormat="1" customHeight="1" s="76">
      <c r="A243" s="2" t="n"/>
      <c r="B243" s="2" t="n"/>
      <c r="C243" s="2" t="n"/>
      <c r="D243" s="2" t="n"/>
    </row>
    <row r="244" ht="12.75" customFormat="1" customHeight="1" s="76">
      <c r="A244" s="2" t="n"/>
      <c r="B244" s="2" t="n"/>
      <c r="C244" s="2" t="n"/>
      <c r="D244" s="2" t="n"/>
    </row>
    <row r="245" ht="12.75" customFormat="1" customHeight="1" s="76">
      <c r="A245" s="2" t="n"/>
      <c r="B245" s="2" t="n"/>
      <c r="C245" s="2" t="n"/>
      <c r="D245" s="2" t="n"/>
    </row>
    <row r="246" ht="12.75" customFormat="1" customHeight="1" s="76">
      <c r="A246" s="2" t="n"/>
      <c r="B246" s="2" t="n"/>
      <c r="C246" s="2" t="n"/>
      <c r="D246" s="2" t="n"/>
    </row>
    <row r="247" ht="12.75" customFormat="1" customHeight="1" s="76">
      <c r="A247" s="2" t="n"/>
      <c r="B247" s="2" t="n"/>
      <c r="C247" s="2" t="n"/>
      <c r="D247" s="2" t="n"/>
    </row>
    <row r="248" ht="12.75" customFormat="1" customHeight="1" s="76">
      <c r="A248" s="2" t="n"/>
      <c r="B248" s="2" t="n"/>
      <c r="C248" s="2" t="n"/>
      <c r="D248" s="2" t="n"/>
    </row>
    <row r="249" ht="12.75" customFormat="1" customHeight="1" s="76">
      <c r="A249" s="2" t="n"/>
      <c r="B249" s="2" t="n"/>
      <c r="C249" s="2" t="n"/>
      <c r="D249" s="2" t="n"/>
    </row>
    <row r="250" ht="12.75" customFormat="1" customHeight="1" s="76">
      <c r="A250" s="2" t="n"/>
      <c r="B250" s="2" t="n"/>
      <c r="C250" s="2" t="n"/>
      <c r="D250" s="2" t="n"/>
    </row>
    <row r="251" ht="12.75" customFormat="1" customHeight="1" s="76">
      <c r="A251" s="2" t="n"/>
      <c r="B251" s="2" t="n"/>
      <c r="C251" s="2" t="n"/>
      <c r="D251" s="2" t="n"/>
    </row>
    <row r="252" ht="12.75" customFormat="1" customHeight="1" s="76">
      <c r="A252" s="2" t="n"/>
      <c r="B252" s="2" t="n"/>
      <c r="C252" s="2" t="n"/>
      <c r="D252" s="2" t="n"/>
    </row>
    <row r="253" ht="12.75" customFormat="1" customHeight="1" s="76">
      <c r="A253" s="2" t="n"/>
      <c r="B253" s="2" t="n"/>
      <c r="C253" s="2" t="n"/>
      <c r="D253" s="2" t="n"/>
    </row>
    <row r="254" ht="12.75" customFormat="1" customHeight="1" s="76">
      <c r="A254" s="2" t="n"/>
      <c r="B254" s="2" t="n"/>
      <c r="C254" s="2" t="n"/>
      <c r="D254" s="2" t="n"/>
    </row>
    <row r="255" ht="12.75" customFormat="1" customHeight="1" s="76">
      <c r="A255" s="2" t="n"/>
      <c r="B255" s="2" t="n"/>
      <c r="C255" s="2" t="n"/>
      <c r="D255" s="2" t="n"/>
    </row>
    <row r="256" ht="12.75" customFormat="1" customHeight="1" s="76">
      <c r="A256" s="2" t="n"/>
      <c r="B256" s="2" t="n"/>
      <c r="C256" s="2" t="n"/>
      <c r="D256" s="2" t="n"/>
    </row>
    <row r="257" ht="12.75" customFormat="1" customHeight="1" s="76">
      <c r="A257" s="2" t="n"/>
      <c r="B257" s="2" t="n"/>
      <c r="C257" s="2" t="n"/>
      <c r="D257" s="2" t="n"/>
    </row>
    <row r="258" ht="12.75" customFormat="1" customHeight="1" s="76">
      <c r="A258" s="2" t="n"/>
      <c r="B258" s="2" t="n"/>
      <c r="C258" s="2" t="n"/>
      <c r="D258" s="2" t="n"/>
    </row>
    <row r="259" ht="12.75" customFormat="1" customHeight="1" s="76">
      <c r="A259" s="2" t="n"/>
      <c r="B259" s="2" t="n"/>
      <c r="C259" s="2" t="n"/>
      <c r="D259" s="2" t="n"/>
    </row>
    <row r="260" ht="12.75" customFormat="1" customHeight="1" s="76">
      <c r="A260" s="2" t="n"/>
      <c r="B260" s="2" t="n"/>
      <c r="C260" s="2" t="n"/>
      <c r="D260" s="2" t="n"/>
    </row>
    <row r="261" ht="12.75" customFormat="1" customHeight="1" s="76">
      <c r="A261" s="2" t="n"/>
      <c r="B261" s="2" t="n"/>
      <c r="C261" s="2" t="n"/>
      <c r="D261" s="2" t="n"/>
    </row>
    <row r="262" ht="12.75" customFormat="1" customHeight="1" s="76">
      <c r="A262" s="2" t="n"/>
      <c r="B262" s="2" t="n"/>
      <c r="C262" s="2" t="n"/>
      <c r="D262" s="2" t="n"/>
    </row>
    <row r="263" ht="12.75" customFormat="1" customHeight="1" s="76">
      <c r="A263" s="2" t="n"/>
      <c r="B263" s="2" t="n"/>
      <c r="C263" s="2" t="n"/>
      <c r="D263" s="2" t="n"/>
    </row>
    <row r="264" ht="12.75" customFormat="1" customHeight="1" s="76">
      <c r="A264" s="2" t="n"/>
      <c r="B264" s="2" t="n"/>
      <c r="C264" s="2" t="n"/>
      <c r="D264" s="2" t="n"/>
    </row>
    <row r="265" ht="12.75" customFormat="1" customHeight="1" s="76">
      <c r="A265" s="2" t="n"/>
      <c r="B265" s="2" t="n"/>
      <c r="C265" s="2" t="n"/>
      <c r="D265" s="2" t="n"/>
    </row>
    <row r="266" ht="12.75" customFormat="1" customHeight="1" s="76">
      <c r="A266" s="2" t="n"/>
      <c r="B266" s="2" t="n"/>
      <c r="C266" s="2" t="n"/>
      <c r="D266" s="2" t="n"/>
    </row>
    <row r="267" ht="12.75" customFormat="1" customHeight="1" s="76">
      <c r="A267" s="2" t="n"/>
      <c r="B267" s="2" t="n"/>
      <c r="C267" s="2" t="n"/>
      <c r="D267" s="2" t="n"/>
    </row>
    <row r="268" ht="12.75" customFormat="1" customHeight="1" s="76">
      <c r="A268" s="2" t="n"/>
      <c r="B268" s="2" t="n"/>
      <c r="C268" s="2" t="n"/>
      <c r="D268" s="2" t="n"/>
    </row>
    <row r="269" ht="12.75" customFormat="1" customHeight="1" s="76">
      <c r="A269" s="2" t="n"/>
      <c r="B269" s="2" t="n"/>
      <c r="C269" s="2" t="n"/>
      <c r="D269" s="2" t="n"/>
    </row>
    <row r="270" ht="12.75" customFormat="1" customHeight="1" s="76">
      <c r="A270" s="2" t="n"/>
      <c r="B270" s="2" t="n"/>
      <c r="C270" s="2" t="n"/>
      <c r="D270" s="2" t="n"/>
    </row>
    <row r="271" ht="12.75" customFormat="1" customHeight="1" s="76">
      <c r="A271" s="2" t="n"/>
      <c r="B271" s="2" t="n"/>
      <c r="C271" s="2" t="n"/>
      <c r="D271" s="2" t="n"/>
    </row>
    <row r="272" ht="12.75" customFormat="1" customHeight="1" s="76">
      <c r="A272" s="2" t="n"/>
      <c r="B272" s="2" t="n"/>
      <c r="C272" s="2" t="n"/>
      <c r="D272" s="2" t="n"/>
    </row>
    <row r="273" ht="12.75" customFormat="1" customHeight="1" s="76">
      <c r="A273" s="2" t="n"/>
      <c r="B273" s="2" t="n"/>
      <c r="C273" s="2" t="n"/>
      <c r="D273" s="2" t="n"/>
    </row>
    <row r="274" ht="12.75" customFormat="1" customHeight="1" s="76">
      <c r="A274" s="2" t="n"/>
      <c r="B274" s="2" t="n"/>
      <c r="C274" s="2" t="n"/>
      <c r="D274" s="2" t="n"/>
    </row>
    <row r="275" ht="12.75" customFormat="1" customHeight="1" s="76">
      <c r="A275" s="2" t="n"/>
      <c r="B275" s="2" t="n"/>
      <c r="C275" s="2" t="n"/>
      <c r="D275" s="2" t="n"/>
    </row>
    <row r="276" ht="12.75" customFormat="1" customHeight="1" s="76">
      <c r="A276" s="2" t="n"/>
      <c r="B276" s="2" t="n"/>
      <c r="C276" s="2" t="n"/>
      <c r="D276" s="2" t="n"/>
    </row>
    <row r="277" ht="12.75" customFormat="1" customHeight="1" s="76">
      <c r="A277" s="2" t="n"/>
      <c r="B277" s="2" t="n"/>
      <c r="C277" s="2" t="n"/>
      <c r="D277" s="2" t="n"/>
    </row>
    <row r="278" ht="12.75" customFormat="1" customHeight="1" s="76">
      <c r="A278" s="2" t="n"/>
      <c r="B278" s="2" t="n"/>
      <c r="C278" s="2" t="n"/>
      <c r="D278" s="2" t="n"/>
    </row>
    <row r="279" ht="12.75" customFormat="1" customHeight="1" s="76">
      <c r="A279" s="2" t="n"/>
      <c r="B279" s="2" t="n"/>
      <c r="C279" s="2" t="n"/>
      <c r="D279" s="2" t="n"/>
    </row>
    <row r="280" ht="12.75" customFormat="1" customHeight="1" s="76">
      <c r="A280" s="2" t="n"/>
      <c r="B280" s="2" t="n"/>
      <c r="C280" s="2" t="n"/>
      <c r="D280" s="2" t="n"/>
    </row>
    <row r="281" ht="12.75" customFormat="1" customHeight="1" s="76">
      <c r="A281" s="2" t="n"/>
      <c r="B281" s="2" t="n"/>
      <c r="C281" s="2" t="n"/>
      <c r="D281" s="2" t="n"/>
    </row>
    <row r="282" ht="12.75" customFormat="1" customHeight="1" s="76">
      <c r="A282" s="2" t="n"/>
      <c r="B282" s="2" t="n"/>
      <c r="C282" s="2" t="n"/>
      <c r="D282" s="2" t="n"/>
    </row>
    <row r="283" ht="12.75" customFormat="1" customHeight="1" s="76">
      <c r="A283" s="2" t="n"/>
      <c r="B283" s="2" t="n"/>
      <c r="C283" s="2" t="n"/>
      <c r="D283" s="2" t="n"/>
    </row>
    <row r="284" ht="12.75" customFormat="1" customHeight="1" s="76">
      <c r="A284" s="2" t="n"/>
      <c r="B284" s="2" t="n"/>
      <c r="C284" s="2" t="n"/>
      <c r="D284" s="2" t="n"/>
    </row>
    <row r="285" ht="12.75" customFormat="1" customHeight="1" s="76">
      <c r="A285" s="2" t="n"/>
      <c r="B285" s="2" t="n"/>
      <c r="C285" s="2" t="n"/>
      <c r="D285" s="2" t="n"/>
    </row>
    <row r="286" ht="12.75" customFormat="1" customHeight="1" s="76">
      <c r="A286" s="2" t="n"/>
      <c r="B286" s="2" t="n"/>
      <c r="C286" s="2" t="n"/>
      <c r="D286" s="2" t="n"/>
    </row>
    <row r="287" ht="12.75" customFormat="1" customHeight="1" s="76">
      <c r="A287" s="2" t="n"/>
      <c r="B287" s="2" t="n"/>
      <c r="C287" s="2" t="n"/>
      <c r="D287" s="2" t="n"/>
    </row>
    <row r="288" ht="12.75" customFormat="1" customHeight="1" s="76">
      <c r="A288" s="2" t="n"/>
      <c r="B288" s="2" t="n"/>
      <c r="C288" s="2" t="n"/>
      <c r="D288" s="2" t="n"/>
    </row>
    <row r="289" ht="12.75" customFormat="1" customHeight="1" s="76">
      <c r="A289" s="2" t="n"/>
      <c r="B289" s="2" t="n"/>
      <c r="C289" s="2" t="n"/>
      <c r="D289" s="2" t="n"/>
    </row>
    <row r="290" ht="12.75" customFormat="1" customHeight="1" s="76">
      <c r="A290" s="2" t="n"/>
      <c r="B290" s="2" t="n"/>
      <c r="C290" s="2" t="n"/>
      <c r="D290" s="2" t="n"/>
    </row>
    <row r="291" ht="12.75" customFormat="1" customHeight="1" s="76">
      <c r="A291" s="2" t="n"/>
      <c r="B291" s="2" t="n"/>
      <c r="C291" s="2" t="n"/>
      <c r="D291" s="2" t="n"/>
    </row>
    <row r="292" ht="12.75" customFormat="1" customHeight="1" s="76">
      <c r="A292" s="2" t="n"/>
      <c r="B292" s="2" t="n"/>
      <c r="C292" s="2" t="n"/>
      <c r="D292" s="2" t="n"/>
    </row>
    <row r="293" ht="12.75" customFormat="1" customHeight="1" s="76">
      <c r="A293" s="2" t="n"/>
      <c r="B293" s="2" t="n"/>
      <c r="C293" s="2" t="n"/>
      <c r="D293" s="2" t="n"/>
    </row>
    <row r="294" ht="12.75" customFormat="1" customHeight="1" s="76">
      <c r="A294" s="2" t="n"/>
      <c r="B294" s="2" t="n"/>
      <c r="C294" s="2" t="n"/>
      <c r="D294" s="2" t="n"/>
    </row>
    <row r="295" ht="12.75" customFormat="1" customHeight="1" s="76">
      <c r="A295" s="2" t="n"/>
      <c r="B295" s="2" t="n"/>
      <c r="C295" s="2" t="n"/>
      <c r="D295" s="2" t="n"/>
    </row>
    <row r="296" ht="12.75" customFormat="1" customHeight="1" s="76">
      <c r="A296" s="2" t="n"/>
      <c r="B296" s="2" t="n"/>
      <c r="C296" s="2" t="n"/>
      <c r="D296" s="2" t="n"/>
    </row>
    <row r="297" ht="12.75" customFormat="1" customHeight="1" s="76">
      <c r="A297" s="2" t="n"/>
      <c r="B297" s="2" t="n"/>
      <c r="C297" s="2" t="n"/>
      <c r="D297" s="2" t="n"/>
    </row>
    <row r="298" ht="12.75" customFormat="1" customHeight="1" s="76">
      <c r="A298" s="2" t="n"/>
      <c r="B298" s="2" t="n"/>
      <c r="C298" s="2" t="n"/>
      <c r="D298" s="2" t="n"/>
    </row>
    <row r="299" ht="12.75" customFormat="1" customHeight="1" s="76">
      <c r="A299" s="2" t="n"/>
      <c r="B299" s="2" t="n"/>
      <c r="C299" s="2" t="n"/>
      <c r="D299" s="2" t="n"/>
    </row>
    <row r="300" ht="12.75" customFormat="1" customHeight="1" s="76">
      <c r="A300" s="2" t="n"/>
      <c r="B300" s="2" t="n"/>
      <c r="C300" s="2" t="n"/>
      <c r="D300" s="2" t="n"/>
    </row>
    <row r="301" ht="12.75" customFormat="1" customHeight="1" s="76">
      <c r="A301" s="2" t="n"/>
      <c r="B301" s="2" t="n"/>
      <c r="C301" s="2" t="n"/>
      <c r="D301" s="2" t="n"/>
    </row>
    <row r="302" ht="12.75" customFormat="1" customHeight="1" s="76">
      <c r="A302" s="2" t="n"/>
      <c r="B302" s="2" t="n"/>
      <c r="C302" s="2" t="n"/>
      <c r="D302" s="2" t="n"/>
    </row>
    <row r="303" ht="12.75" customFormat="1" customHeight="1" s="76">
      <c r="A303" s="2" t="n"/>
      <c r="B303" s="2" t="n"/>
      <c r="C303" s="2" t="n"/>
      <c r="D303" s="2" t="n"/>
    </row>
    <row r="304" ht="12.75" customFormat="1" customHeight="1" s="76">
      <c r="A304" s="2" t="n"/>
      <c r="B304" s="2" t="n"/>
      <c r="C304" s="2" t="n"/>
      <c r="D304" s="2" t="n"/>
    </row>
    <row r="305" ht="12.75" customFormat="1" customHeight="1" s="76">
      <c r="A305" s="2" t="n"/>
      <c r="B305" s="2" t="n"/>
      <c r="C305" s="2" t="n"/>
      <c r="D305" s="2" t="n"/>
    </row>
    <row r="306" ht="12.75" customFormat="1" customHeight="1" s="76">
      <c r="A306" s="2" t="n"/>
      <c r="B306" s="2" t="n"/>
      <c r="C306" s="2" t="n"/>
      <c r="D306" s="2" t="n"/>
    </row>
    <row r="307" ht="12.75" customFormat="1" customHeight="1" s="76">
      <c r="A307" s="2" t="n"/>
      <c r="B307" s="2" t="n"/>
      <c r="C307" s="2" t="n"/>
      <c r="D307" s="2" t="n"/>
    </row>
    <row r="308" ht="12.75" customFormat="1" customHeight="1" s="76">
      <c r="A308" s="2" t="n"/>
      <c r="B308" s="2" t="n"/>
      <c r="C308" s="2" t="n"/>
      <c r="D308" s="2" t="n"/>
    </row>
    <row r="309" ht="12.75" customFormat="1" customHeight="1" s="76">
      <c r="A309" s="2" t="n"/>
      <c r="B309" s="2" t="n"/>
      <c r="C309" s="2" t="n"/>
      <c r="D309" s="2" t="n"/>
    </row>
    <row r="310" ht="12.75" customFormat="1" customHeight="1" s="76">
      <c r="A310" s="2" t="n"/>
      <c r="B310" s="2" t="n"/>
      <c r="C310" s="2" t="n"/>
      <c r="D310" s="2" t="n"/>
    </row>
    <row r="311" ht="12.75" customFormat="1" customHeight="1" s="76">
      <c r="A311" s="2" t="n"/>
      <c r="B311" s="2" t="n"/>
      <c r="C311" s="2" t="n"/>
      <c r="D311" s="2" t="n"/>
    </row>
    <row r="312" ht="12.75" customFormat="1" customHeight="1" s="76">
      <c r="A312" s="2" t="n"/>
      <c r="B312" s="2" t="n"/>
      <c r="C312" s="2" t="n"/>
      <c r="D312" s="2" t="n"/>
    </row>
    <row r="313" ht="12.75" customFormat="1" customHeight="1" s="76">
      <c r="A313" s="2" t="n"/>
      <c r="B313" s="2" t="n"/>
      <c r="C313" s="2" t="n"/>
      <c r="D313" s="2" t="n"/>
    </row>
    <row r="314" ht="12.75" customFormat="1" customHeight="1" s="76">
      <c r="A314" s="2" t="n"/>
      <c r="B314" s="2" t="n"/>
      <c r="C314" s="2" t="n"/>
      <c r="D314" s="2" t="n"/>
    </row>
    <row r="315" ht="12.75" customFormat="1" customHeight="1" s="76">
      <c r="A315" s="2" t="n"/>
      <c r="B315" s="2" t="n"/>
      <c r="C315" s="2" t="n"/>
      <c r="D315" s="2" t="n"/>
    </row>
    <row r="316" ht="12.75" customFormat="1" customHeight="1" s="76">
      <c r="A316" s="2" t="n"/>
      <c r="B316" s="2" t="n"/>
      <c r="C316" s="2" t="n"/>
      <c r="D316" s="2" t="n"/>
    </row>
    <row r="317" ht="12.75" customFormat="1" customHeight="1" s="76">
      <c r="A317" s="2" t="n"/>
      <c r="B317" s="2" t="n"/>
      <c r="C317" s="2" t="n"/>
      <c r="D317" s="2" t="n"/>
    </row>
    <row r="318" ht="12.75" customFormat="1" customHeight="1" s="76">
      <c r="A318" s="2" t="n"/>
      <c r="B318" s="2" t="n"/>
      <c r="C318" s="2" t="n"/>
      <c r="D318" s="2" t="n"/>
    </row>
    <row r="319" ht="12.75" customFormat="1" customHeight="1" s="76">
      <c r="A319" s="2" t="n"/>
      <c r="B319" s="2" t="n"/>
      <c r="C319" s="2" t="n"/>
      <c r="D319" s="2" t="n"/>
    </row>
    <row r="320" ht="12.75" customFormat="1" customHeight="1" s="76">
      <c r="A320" s="2" t="n"/>
      <c r="B320" s="2" t="n"/>
      <c r="C320" s="2" t="n"/>
      <c r="D320" s="2" t="n"/>
    </row>
    <row r="321" ht="12.75" customFormat="1" customHeight="1" s="76">
      <c r="A321" s="2" t="n"/>
      <c r="B321" s="2" t="n"/>
      <c r="C321" s="2" t="n"/>
      <c r="D321" s="2" t="n"/>
    </row>
    <row r="322" ht="12.75" customFormat="1" customHeight="1" s="76">
      <c r="A322" s="2" t="n"/>
      <c r="B322" s="2" t="n"/>
      <c r="C322" s="2" t="n"/>
      <c r="D322" s="2" t="n"/>
    </row>
    <row r="323" ht="12.75" customFormat="1" customHeight="1" s="76">
      <c r="A323" s="2" t="n"/>
      <c r="B323" s="2" t="n"/>
      <c r="C323" s="2" t="n"/>
      <c r="D323" s="2" t="n"/>
    </row>
    <row r="324" ht="12.75" customFormat="1" customHeight="1" s="76">
      <c r="A324" s="2" t="n"/>
      <c r="B324" s="2" t="n"/>
      <c r="C324" s="2" t="n"/>
      <c r="D324" s="2" t="n"/>
    </row>
    <row r="325" ht="12.75" customFormat="1" customHeight="1" s="76">
      <c r="A325" s="2" t="n"/>
      <c r="B325" s="2" t="n"/>
      <c r="C325" s="2" t="n"/>
      <c r="D325" s="2" t="n"/>
    </row>
    <row r="326" ht="12.75" customFormat="1" customHeight="1" s="76">
      <c r="A326" s="2" t="n"/>
      <c r="B326" s="2" t="n"/>
      <c r="C326" s="2" t="n"/>
      <c r="D326" s="2" t="n"/>
    </row>
    <row r="327" ht="12.75" customFormat="1" customHeight="1" s="76">
      <c r="A327" s="2" t="n"/>
      <c r="B327" s="2" t="n"/>
      <c r="C327" s="2" t="n"/>
      <c r="D327" s="2" t="n"/>
    </row>
    <row r="328" ht="12.75" customFormat="1" customHeight="1" s="76">
      <c r="A328" s="2" t="n"/>
      <c r="B328" s="2" t="n"/>
      <c r="C328" s="2" t="n"/>
      <c r="D328" s="2" t="n"/>
    </row>
    <row r="329" ht="12.75" customFormat="1" customHeight="1" s="76">
      <c r="A329" s="2" t="n"/>
      <c r="B329" s="2" t="n"/>
      <c r="C329" s="2" t="n"/>
      <c r="D329" s="2" t="n"/>
    </row>
    <row r="330" ht="12.75" customFormat="1" customHeight="1" s="76">
      <c r="A330" s="2" t="n"/>
      <c r="B330" s="2" t="n"/>
      <c r="C330" s="2" t="n"/>
      <c r="D330" s="2" t="n"/>
    </row>
    <row r="331" ht="12.75" customFormat="1" customHeight="1" s="76">
      <c r="A331" s="2" t="n"/>
      <c r="B331" s="2" t="n"/>
      <c r="C331" s="2" t="n"/>
      <c r="D331" s="2" t="n"/>
    </row>
    <row r="332" ht="12.75" customFormat="1" customHeight="1" s="76">
      <c r="A332" s="2" t="n"/>
      <c r="B332" s="2" t="n"/>
      <c r="C332" s="2" t="n"/>
      <c r="D332" s="2" t="n"/>
    </row>
    <row r="333" ht="12.75" customFormat="1" customHeight="1" s="76">
      <c r="A333" s="2" t="n"/>
      <c r="B333" s="2" t="n"/>
      <c r="C333" s="2" t="n"/>
      <c r="D333" s="2" t="n"/>
    </row>
    <row r="334" ht="12.75" customFormat="1" customHeight="1" s="76">
      <c r="A334" s="2" t="n"/>
      <c r="B334" s="2" t="n"/>
      <c r="C334" s="2" t="n"/>
      <c r="D334" s="2" t="n"/>
    </row>
    <row r="335" ht="12.75" customFormat="1" customHeight="1" s="76">
      <c r="A335" s="2" t="n"/>
      <c r="B335" s="2" t="n"/>
      <c r="C335" s="2" t="n"/>
      <c r="D335" s="2" t="n"/>
    </row>
    <row r="336" ht="12.75" customFormat="1" customHeight="1" s="76">
      <c r="A336" s="2" t="n"/>
      <c r="B336" s="2" t="n"/>
      <c r="C336" s="2" t="n"/>
      <c r="D336" s="2" t="n"/>
    </row>
    <row r="337" ht="12.75" customFormat="1" customHeight="1" s="76">
      <c r="A337" s="2" t="n"/>
      <c r="B337" s="2" t="n"/>
      <c r="C337" s="2" t="n"/>
      <c r="D337" s="2" t="n"/>
    </row>
    <row r="338" ht="12.75" customFormat="1" customHeight="1" s="76">
      <c r="A338" s="2" t="n"/>
      <c r="B338" s="2" t="n"/>
      <c r="C338" s="2" t="n"/>
      <c r="D338" s="2" t="n"/>
    </row>
    <row r="339" ht="12.75" customFormat="1" customHeight="1" s="76">
      <c r="A339" s="2" t="n"/>
      <c r="B339" s="2" t="n"/>
      <c r="C339" s="2" t="n"/>
      <c r="D339" s="2" t="n"/>
    </row>
    <row r="340" ht="12.75" customFormat="1" customHeight="1" s="76">
      <c r="A340" s="2" t="n"/>
      <c r="B340" s="2" t="n"/>
      <c r="C340" s="2" t="n"/>
      <c r="D340" s="2" t="n"/>
    </row>
    <row r="341" ht="12.75" customFormat="1" customHeight="1" s="76">
      <c r="A341" s="2" t="n"/>
      <c r="B341" s="2" t="n"/>
      <c r="C341" s="2" t="n"/>
      <c r="D341" s="2" t="n"/>
    </row>
    <row r="342" ht="12.75" customFormat="1" customHeight="1" s="76">
      <c r="A342" s="2" t="n"/>
      <c r="B342" s="2" t="n"/>
      <c r="C342" s="2" t="n"/>
      <c r="D342" s="2" t="n"/>
    </row>
    <row r="343" ht="12.75" customFormat="1" customHeight="1" s="76">
      <c r="A343" s="2" t="n"/>
      <c r="B343" s="2" t="n"/>
      <c r="C343" s="2" t="n"/>
      <c r="D343" s="2" t="n"/>
    </row>
    <row r="344" ht="12.75" customFormat="1" customHeight="1" s="76">
      <c r="A344" s="2" t="n"/>
      <c r="B344" s="2" t="n"/>
      <c r="C344" s="2" t="n"/>
      <c r="D344" s="2" t="n"/>
    </row>
    <row r="345" ht="12.75" customFormat="1" customHeight="1" s="76">
      <c r="A345" s="2" t="n"/>
      <c r="B345" s="2" t="n"/>
      <c r="C345" s="2" t="n"/>
      <c r="D345" s="2" t="n"/>
    </row>
    <row r="346" ht="12.75" customFormat="1" customHeight="1" s="76">
      <c r="A346" s="2" t="n"/>
      <c r="B346" s="2" t="n"/>
      <c r="C346" s="2" t="n"/>
      <c r="D346" s="2" t="n"/>
    </row>
    <row r="347" ht="12.75" customFormat="1" customHeight="1" s="76">
      <c r="A347" s="2" t="n"/>
      <c r="B347" s="2" t="n"/>
      <c r="C347" s="2" t="n"/>
      <c r="D347" s="2" t="n"/>
    </row>
    <row r="348" ht="12.75" customFormat="1" customHeight="1" s="76">
      <c r="A348" s="2" t="n"/>
      <c r="B348" s="2" t="n"/>
      <c r="C348" s="2" t="n"/>
      <c r="D348" s="2" t="n"/>
    </row>
    <row r="349" ht="12.75" customFormat="1" customHeight="1" s="76">
      <c r="A349" s="2" t="n"/>
      <c r="B349" s="2" t="n"/>
      <c r="C349" s="2" t="n"/>
      <c r="D349" s="2" t="n"/>
    </row>
    <row r="350" ht="12.75" customFormat="1" customHeight="1" s="76">
      <c r="A350" s="2" t="n"/>
      <c r="B350" s="2" t="n"/>
      <c r="C350" s="2" t="n"/>
      <c r="D350" s="2" t="n"/>
    </row>
    <row r="351" ht="12.75" customFormat="1" customHeight="1" s="76">
      <c r="A351" s="2" t="n"/>
      <c r="B351" s="2" t="n"/>
      <c r="C351" s="2" t="n"/>
      <c r="D351" s="2" t="n"/>
    </row>
    <row r="352" ht="12.75" customFormat="1" customHeight="1" s="76">
      <c r="A352" s="2" t="n"/>
      <c r="B352" s="2" t="n"/>
      <c r="C352" s="2" t="n"/>
      <c r="D352" s="2" t="n"/>
    </row>
    <row r="353" ht="12.75" customFormat="1" customHeight="1" s="76">
      <c r="A353" s="2" t="n"/>
      <c r="B353" s="2" t="n"/>
      <c r="C353" s="2" t="n"/>
      <c r="D353" s="2" t="n"/>
    </row>
    <row r="354" ht="12.75" customFormat="1" customHeight="1" s="76">
      <c r="A354" s="2" t="n"/>
      <c r="B354" s="2" t="n"/>
      <c r="C354" s="2" t="n"/>
      <c r="D354" s="2" t="n"/>
    </row>
    <row r="355" ht="12.75" customFormat="1" customHeight="1" s="76">
      <c r="A355" s="2" t="n"/>
      <c r="B355" s="2" t="n"/>
      <c r="C355" s="2" t="n"/>
      <c r="D355" s="2" t="n"/>
    </row>
    <row r="356" ht="12.75" customFormat="1" customHeight="1" s="76">
      <c r="A356" s="2" t="n"/>
      <c r="B356" s="2" t="n"/>
      <c r="C356" s="2" t="n"/>
      <c r="D356" s="2" t="n"/>
    </row>
    <row r="357" ht="12.75" customFormat="1" customHeight="1" s="76">
      <c r="A357" s="2" t="n"/>
      <c r="B357" s="2" t="n"/>
      <c r="C357" s="2" t="n"/>
      <c r="D357" s="2" t="n"/>
    </row>
    <row r="358" ht="12.75" customFormat="1" customHeight="1" s="76">
      <c r="A358" s="2" t="n"/>
      <c r="B358" s="2" t="n"/>
      <c r="C358" s="2" t="n"/>
      <c r="D358" s="2" t="n"/>
    </row>
    <row r="359" ht="12.75" customFormat="1" customHeight="1" s="76">
      <c r="A359" s="2" t="n"/>
      <c r="B359" s="2" t="n"/>
      <c r="C359" s="2" t="n"/>
      <c r="D359" s="2" t="n"/>
    </row>
    <row r="360" ht="12.75" customFormat="1" customHeight="1" s="76">
      <c r="A360" s="2" t="n"/>
      <c r="B360" s="2" t="n"/>
      <c r="C360" s="2" t="n"/>
      <c r="D360" s="2" t="n"/>
    </row>
    <row r="361" ht="12.75" customFormat="1" customHeight="1" s="76">
      <c r="A361" s="2" t="n"/>
      <c r="B361" s="2" t="n"/>
      <c r="C361" s="2" t="n"/>
      <c r="D361" s="2" t="n"/>
    </row>
    <row r="362" ht="12.75" customFormat="1" customHeight="1" s="76">
      <c r="A362" s="2" t="n"/>
      <c r="B362" s="2" t="n"/>
      <c r="C362" s="2" t="n"/>
      <c r="D362" s="2" t="n"/>
    </row>
    <row r="363" ht="12.75" customFormat="1" customHeight="1" s="76">
      <c r="A363" s="2" t="n"/>
      <c r="B363" s="2" t="n"/>
      <c r="C363" s="2" t="n"/>
      <c r="D363" s="2" t="n"/>
    </row>
    <row r="364" ht="12.75" customFormat="1" customHeight="1" s="76">
      <c r="A364" s="2" t="n"/>
      <c r="B364" s="2" t="n"/>
      <c r="C364" s="2" t="n"/>
      <c r="D364" s="2" t="n"/>
    </row>
    <row r="365" ht="12.75" customFormat="1" customHeight="1" s="76">
      <c r="A365" s="2" t="n"/>
      <c r="B365" s="2" t="n"/>
      <c r="C365" s="2" t="n"/>
      <c r="D365" s="2" t="n"/>
    </row>
    <row r="366" ht="12.75" customFormat="1" customHeight="1" s="76">
      <c r="A366" s="2" t="n"/>
      <c r="B366" s="2" t="n"/>
      <c r="C366" s="2" t="n"/>
      <c r="D366" s="2" t="n"/>
    </row>
    <row r="367" ht="12.75" customFormat="1" customHeight="1" s="76">
      <c r="A367" s="2" t="n"/>
      <c r="B367" s="2" t="n"/>
      <c r="C367" s="2" t="n"/>
      <c r="D367" s="2" t="n"/>
    </row>
    <row r="368" ht="12.75" customFormat="1" customHeight="1" s="76">
      <c r="A368" s="2" t="n"/>
      <c r="B368" s="2" t="n"/>
      <c r="C368" s="2" t="n"/>
      <c r="D368" s="2" t="n"/>
    </row>
    <row r="369" ht="12.75" customFormat="1" customHeight="1" s="76">
      <c r="A369" s="2" t="n"/>
      <c r="B369" s="2" t="n"/>
      <c r="C369" s="2" t="n"/>
      <c r="D369" s="2" t="n"/>
    </row>
    <row r="370" ht="12.75" customFormat="1" customHeight="1" s="76">
      <c r="A370" s="2" t="n"/>
      <c r="B370" s="2" t="n"/>
      <c r="C370" s="2" t="n"/>
      <c r="D370" s="2" t="n"/>
    </row>
    <row r="371" ht="12.75" customFormat="1" customHeight="1" s="76">
      <c r="A371" s="2" t="n"/>
      <c r="B371" s="2" t="n"/>
      <c r="C371" s="2" t="n"/>
      <c r="D371" s="2" t="n"/>
    </row>
    <row r="372" ht="12.75" customFormat="1" customHeight="1" s="76">
      <c r="A372" s="2" t="n"/>
      <c r="B372" s="2" t="n"/>
      <c r="C372" s="2" t="n"/>
      <c r="D372" s="2" t="n"/>
    </row>
    <row r="373" ht="12.75" customFormat="1" customHeight="1" s="76">
      <c r="A373" s="2" t="n"/>
      <c r="B373" s="2" t="n"/>
      <c r="C373" s="2" t="n"/>
      <c r="D373" s="2" t="n"/>
    </row>
    <row r="374" ht="12.75" customFormat="1" customHeight="1" s="76">
      <c r="A374" s="2" t="n"/>
      <c r="B374" s="2" t="n"/>
      <c r="C374" s="2" t="n"/>
      <c r="D374" s="2" t="n"/>
    </row>
    <row r="375" ht="12.75" customFormat="1" customHeight="1" s="76">
      <c r="A375" s="2" t="n"/>
      <c r="B375" s="2" t="n"/>
      <c r="C375" s="2" t="n"/>
      <c r="D375" s="2" t="n"/>
    </row>
    <row r="376" ht="12.75" customFormat="1" customHeight="1" s="76">
      <c r="A376" s="2" t="n"/>
      <c r="B376" s="2" t="n"/>
      <c r="C376" s="2" t="n"/>
      <c r="D376" s="2" t="n"/>
    </row>
    <row r="377" ht="12.75" customFormat="1" customHeight="1" s="76">
      <c r="A377" s="2" t="n"/>
      <c r="B377" s="2" t="n"/>
      <c r="C377" s="2" t="n"/>
      <c r="D377" s="2" t="n"/>
    </row>
    <row r="378" ht="12.75" customFormat="1" customHeight="1" s="76">
      <c r="A378" s="2" t="n"/>
      <c r="B378" s="2" t="n"/>
      <c r="C378" s="2" t="n"/>
      <c r="D378" s="2" t="n"/>
    </row>
    <row r="379" ht="12.75" customFormat="1" customHeight="1" s="76">
      <c r="A379" s="2" t="n"/>
      <c r="B379" s="2" t="n"/>
      <c r="C379" s="2" t="n"/>
      <c r="D379" s="2" t="n"/>
    </row>
    <row r="380" ht="12.75" customFormat="1" customHeight="1" s="76">
      <c r="A380" s="2" t="n"/>
      <c r="B380" s="2" t="n"/>
      <c r="C380" s="2" t="n"/>
      <c r="D380" s="2" t="n"/>
    </row>
    <row r="381" ht="12.75" customFormat="1" customHeight="1" s="76">
      <c r="A381" s="2" t="n"/>
      <c r="B381" s="2" t="n"/>
      <c r="C381" s="2" t="n"/>
      <c r="D381" s="2" t="n"/>
    </row>
    <row r="382" ht="12.75" customFormat="1" customHeight="1" s="76">
      <c r="A382" s="2" t="n"/>
      <c r="B382" s="2" t="n"/>
      <c r="C382" s="2" t="n"/>
      <c r="D382" s="2" t="n"/>
    </row>
    <row r="383" ht="12.75" customFormat="1" customHeight="1" s="76">
      <c r="A383" s="2" t="n"/>
      <c r="B383" s="2" t="n"/>
      <c r="C383" s="2" t="n"/>
      <c r="D383" s="2" t="n"/>
    </row>
    <row r="384" ht="12.75" customFormat="1" customHeight="1" s="76">
      <c r="A384" s="2" t="n"/>
      <c r="B384" s="2" t="n"/>
      <c r="C384" s="2" t="n"/>
      <c r="D384" s="2" t="n"/>
    </row>
    <row r="385" ht="12.75" customFormat="1" customHeight="1" s="76">
      <c r="A385" s="2" t="n"/>
      <c r="B385" s="2" t="n"/>
      <c r="C385" s="2" t="n"/>
      <c r="D385" s="2" t="n"/>
    </row>
    <row r="386" ht="12.75" customFormat="1" customHeight="1" s="76">
      <c r="A386" s="2" t="n"/>
      <c r="B386" s="2" t="n"/>
      <c r="C386" s="2" t="n"/>
      <c r="D386" s="2" t="n"/>
    </row>
    <row r="387" ht="12.75" customFormat="1" customHeight="1" s="76">
      <c r="A387" s="2" t="n"/>
      <c r="B387" s="2" t="n"/>
      <c r="C387" s="2" t="n"/>
      <c r="D387" s="2" t="n"/>
    </row>
    <row r="388" ht="12.75" customFormat="1" customHeight="1" s="76">
      <c r="A388" s="2" t="n"/>
      <c r="B388" s="2" t="n"/>
      <c r="C388" s="2" t="n"/>
      <c r="D388" s="2" t="n"/>
    </row>
    <row r="389" ht="12.75" customFormat="1" customHeight="1" s="76">
      <c r="A389" s="2" t="n"/>
      <c r="B389" s="2" t="n"/>
      <c r="C389" s="2" t="n"/>
      <c r="D389" s="2" t="n"/>
    </row>
    <row r="390" ht="12.75" customFormat="1" customHeight="1" s="76">
      <c r="A390" s="2" t="n"/>
      <c r="B390" s="2" t="n"/>
      <c r="C390" s="2" t="n"/>
      <c r="D390" s="2" t="n"/>
    </row>
    <row r="391" ht="12.75" customFormat="1" customHeight="1" s="76">
      <c r="A391" s="2" t="n"/>
      <c r="B391" s="2" t="n"/>
      <c r="C391" s="2" t="n"/>
      <c r="D391" s="2" t="n"/>
    </row>
    <row r="392" ht="12.75" customFormat="1" customHeight="1" s="76">
      <c r="A392" s="2" t="n"/>
      <c r="B392" s="2" t="n"/>
      <c r="C392" s="2" t="n"/>
      <c r="D392" s="2" t="n"/>
    </row>
    <row r="393" ht="12.75" customFormat="1" customHeight="1" s="76">
      <c r="A393" s="2" t="n"/>
      <c r="B393" s="2" t="n"/>
      <c r="C393" s="2" t="n"/>
      <c r="D393" s="2" t="n"/>
    </row>
    <row r="394" ht="12.75" customFormat="1" customHeight="1" s="76">
      <c r="A394" s="2" t="n"/>
      <c r="B394" s="2" t="n"/>
      <c r="C394" s="2" t="n"/>
      <c r="D394" s="2" t="n"/>
    </row>
    <row r="395" ht="12.75" customFormat="1" customHeight="1" s="76">
      <c r="A395" s="2" t="n"/>
      <c r="B395" s="2" t="n"/>
      <c r="C395" s="2" t="n"/>
      <c r="D395" s="2" t="n"/>
    </row>
    <row r="396" ht="12.75" customFormat="1" customHeight="1" s="76">
      <c r="A396" s="2" t="n"/>
      <c r="B396" s="2" t="n"/>
      <c r="C396" s="2" t="n"/>
      <c r="D396" s="2" t="n"/>
    </row>
    <row r="397" ht="12.75" customFormat="1" customHeight="1" s="76">
      <c r="A397" s="2" t="n"/>
      <c r="B397" s="2" t="n"/>
      <c r="C397" s="2" t="n"/>
      <c r="D397" s="2" t="n"/>
    </row>
    <row r="398" ht="12.75" customFormat="1" customHeight="1" s="76">
      <c r="A398" s="2" t="n"/>
      <c r="B398" s="2" t="n"/>
      <c r="C398" s="2" t="n"/>
      <c r="D398" s="2" t="n"/>
    </row>
    <row r="399" ht="12.75" customFormat="1" customHeight="1" s="76">
      <c r="A399" s="2" t="n"/>
      <c r="B399" s="2" t="n"/>
      <c r="C399" s="2" t="n"/>
      <c r="D399" s="2" t="n"/>
    </row>
    <row r="400" ht="12.75" customFormat="1" customHeight="1" s="76">
      <c r="A400" s="2" t="n"/>
      <c r="B400" s="2" t="n"/>
      <c r="C400" s="2" t="n"/>
      <c r="D400" s="2" t="n"/>
    </row>
    <row r="401" ht="12.75" customFormat="1" customHeight="1" s="76">
      <c r="A401" s="2" t="n"/>
      <c r="B401" s="2" t="n"/>
      <c r="C401" s="2" t="n"/>
      <c r="D401" s="2" t="n"/>
    </row>
    <row r="402" ht="12.75" customFormat="1" customHeight="1" s="76">
      <c r="A402" s="2" t="n"/>
      <c r="B402" s="2" t="n"/>
      <c r="C402" s="2" t="n"/>
      <c r="D402" s="2" t="n"/>
    </row>
    <row r="403" ht="12.75" customFormat="1" customHeight="1" s="76">
      <c r="A403" s="2" t="n"/>
      <c r="B403" s="2" t="n"/>
      <c r="C403" s="2" t="n"/>
      <c r="D403" s="2" t="n"/>
    </row>
    <row r="404" ht="12.75" customFormat="1" customHeight="1" s="76">
      <c r="A404" s="2" t="n"/>
      <c r="B404" s="2" t="n"/>
      <c r="C404" s="2" t="n"/>
      <c r="D404" s="2" t="n"/>
    </row>
    <row r="405" ht="12.75" customFormat="1" customHeight="1" s="76">
      <c r="A405" s="2" t="n"/>
      <c r="B405" s="2" t="n"/>
      <c r="C405" s="2" t="n"/>
      <c r="D405" s="2" t="n"/>
    </row>
    <row r="406" ht="12.75" customFormat="1" customHeight="1" s="76">
      <c r="A406" s="2" t="n"/>
      <c r="B406" s="2" t="n"/>
      <c r="C406" s="2" t="n"/>
      <c r="D406" s="2" t="n"/>
    </row>
    <row r="407" ht="12.75" customFormat="1" customHeight="1" s="76">
      <c r="A407" s="2" t="n"/>
      <c r="B407" s="2" t="n"/>
      <c r="C407" s="2" t="n"/>
      <c r="D407" s="2" t="n"/>
    </row>
    <row r="408" ht="12.75" customFormat="1" customHeight="1" s="76">
      <c r="A408" s="2" t="n"/>
      <c r="B408" s="2" t="n"/>
      <c r="C408" s="2" t="n"/>
      <c r="D408" s="2" t="n"/>
    </row>
    <row r="409" ht="12.75" customFormat="1" customHeight="1" s="76">
      <c r="A409" s="2" t="n"/>
      <c r="B409" s="2" t="n"/>
      <c r="C409" s="2" t="n"/>
      <c r="D409" s="2" t="n"/>
    </row>
    <row r="410" ht="12.75" customFormat="1" customHeight="1" s="76">
      <c r="A410" s="2" t="n"/>
      <c r="B410" s="2" t="n"/>
      <c r="C410" s="2" t="n"/>
      <c r="D410" s="2" t="n"/>
    </row>
    <row r="411" ht="12.75" customFormat="1" customHeight="1" s="76">
      <c r="A411" s="2" t="n"/>
      <c r="B411" s="2" t="n"/>
      <c r="C411" s="2" t="n"/>
      <c r="D411" s="2" t="n"/>
    </row>
    <row r="412" ht="12.75" customFormat="1" customHeight="1" s="76">
      <c r="A412" s="2" t="n"/>
      <c r="B412" s="2" t="n"/>
      <c r="C412" s="2" t="n"/>
      <c r="D412" s="2" t="n"/>
    </row>
    <row r="413" ht="12.75" customFormat="1" customHeight="1" s="76">
      <c r="A413" s="2" t="n"/>
      <c r="B413" s="2" t="n"/>
      <c r="C413" s="2" t="n"/>
      <c r="D413" s="2" t="n"/>
    </row>
    <row r="414" ht="12.75" customFormat="1" customHeight="1" s="76">
      <c r="A414" s="2" t="n"/>
      <c r="B414" s="2" t="n"/>
      <c r="C414" s="2" t="n"/>
      <c r="D414" s="2" t="n"/>
    </row>
    <row r="415" ht="12.75" customFormat="1" customHeight="1" s="76">
      <c r="A415" s="2" t="n"/>
      <c r="B415" s="2" t="n"/>
      <c r="C415" s="2" t="n"/>
      <c r="D415" s="2" t="n"/>
    </row>
    <row r="416" ht="12.75" customFormat="1" customHeight="1" s="76">
      <c r="A416" s="2" t="n"/>
      <c r="B416" s="2" t="n"/>
      <c r="C416" s="2" t="n"/>
      <c r="D416" s="2" t="n"/>
    </row>
    <row r="417" ht="12.75" customFormat="1" customHeight="1" s="76">
      <c r="A417" s="2" t="n"/>
      <c r="B417" s="2" t="n"/>
      <c r="C417" s="2" t="n"/>
      <c r="D417" s="2" t="n"/>
    </row>
    <row r="418" ht="12.75" customFormat="1" customHeight="1" s="76">
      <c r="A418" s="2" t="n"/>
      <c r="B418" s="2" t="n"/>
      <c r="C418" s="2" t="n"/>
      <c r="D418" s="2" t="n"/>
    </row>
    <row r="419" ht="12.75" customFormat="1" customHeight="1" s="76">
      <c r="A419" s="2" t="n"/>
      <c r="B419" s="2" t="n"/>
      <c r="C419" s="2" t="n"/>
      <c r="D419" s="2" t="n"/>
    </row>
    <row r="420" ht="12.75" customFormat="1" customHeight="1" s="76">
      <c r="A420" s="2" t="n"/>
      <c r="B420" s="2" t="n"/>
      <c r="C420" s="2" t="n"/>
      <c r="D420" s="2" t="n"/>
    </row>
    <row r="421" ht="12.75" customFormat="1" customHeight="1" s="76">
      <c r="A421" s="2" t="n"/>
      <c r="B421" s="2" t="n"/>
      <c r="C421" s="2" t="n"/>
      <c r="D421" s="2" t="n"/>
    </row>
    <row r="422" ht="12.75" customFormat="1" customHeight="1" s="76">
      <c r="A422" s="2" t="n"/>
      <c r="B422" s="2" t="n"/>
      <c r="C422" s="2" t="n"/>
      <c r="D422" s="2" t="n"/>
    </row>
    <row r="423" ht="12.75" customFormat="1" customHeight="1" s="76">
      <c r="A423" s="2" t="n"/>
      <c r="B423" s="2" t="n"/>
      <c r="C423" s="2" t="n"/>
      <c r="D423" s="2" t="n"/>
    </row>
    <row r="424" ht="12.75" customFormat="1" customHeight="1" s="76">
      <c r="A424" s="2" t="n"/>
      <c r="B424" s="2" t="n"/>
      <c r="C424" s="2" t="n"/>
      <c r="D424" s="2" t="n"/>
    </row>
    <row r="425" ht="12.75" customFormat="1" customHeight="1" s="76">
      <c r="A425" s="2" t="n"/>
      <c r="B425" s="2" t="n"/>
      <c r="C425" s="2" t="n"/>
      <c r="D425" s="2" t="n"/>
    </row>
    <row r="426" ht="12.75" customFormat="1" customHeight="1" s="76">
      <c r="A426" s="2" t="n"/>
      <c r="B426" s="2" t="n"/>
      <c r="C426" s="2" t="n"/>
      <c r="D426" s="2" t="n"/>
    </row>
    <row r="427" ht="12.75" customFormat="1" customHeight="1" s="76">
      <c r="A427" s="2" t="n"/>
      <c r="B427" s="2" t="n"/>
      <c r="C427" s="2" t="n"/>
      <c r="D427" s="2" t="n"/>
    </row>
    <row r="428" ht="12.75" customFormat="1" customHeight="1" s="76">
      <c r="A428" s="2" t="n"/>
      <c r="B428" s="2" t="n"/>
      <c r="C428" s="2" t="n"/>
      <c r="D428" s="2" t="n"/>
    </row>
    <row r="429" ht="12.75" customFormat="1" customHeight="1" s="76">
      <c r="A429" s="2" t="n"/>
      <c r="B429" s="2" t="n"/>
      <c r="C429" s="2" t="n"/>
      <c r="D429" s="2" t="n"/>
    </row>
    <row r="430" ht="12.75" customFormat="1" customHeight="1" s="76">
      <c r="A430" s="2" t="n"/>
      <c r="B430" s="2" t="n"/>
      <c r="C430" s="2" t="n"/>
      <c r="D430" s="2" t="n"/>
    </row>
    <row r="431" ht="12.75" customFormat="1" customHeight="1" s="76">
      <c r="A431" s="2" t="n"/>
      <c r="B431" s="2" t="n"/>
      <c r="C431" s="2" t="n"/>
      <c r="D431" s="2" t="n"/>
    </row>
    <row r="432" ht="12.75" customFormat="1" customHeight="1" s="76">
      <c r="A432" s="2" t="n"/>
      <c r="B432" s="2" t="n"/>
      <c r="C432" s="2" t="n"/>
      <c r="D432" s="2" t="n"/>
    </row>
    <row r="433" ht="12.75" customFormat="1" customHeight="1" s="76">
      <c r="A433" s="2" t="n"/>
      <c r="B433" s="2" t="n"/>
      <c r="C433" s="2" t="n"/>
      <c r="D433" s="2" t="n"/>
    </row>
    <row r="434" ht="12.75" customFormat="1" customHeight="1" s="76">
      <c r="A434" s="2" t="n"/>
      <c r="B434" s="2" t="n"/>
      <c r="C434" s="2" t="n"/>
      <c r="D434" s="2" t="n"/>
    </row>
    <row r="435" ht="12.75" customFormat="1" customHeight="1" s="76">
      <c r="A435" s="2" t="n"/>
      <c r="B435" s="2" t="n"/>
      <c r="C435" s="2" t="n"/>
      <c r="D435" s="2" t="n"/>
    </row>
    <row r="436" ht="12.75" customFormat="1" customHeight="1" s="76">
      <c r="A436" s="2" t="n"/>
      <c r="B436" s="2" t="n"/>
      <c r="C436" s="2" t="n"/>
      <c r="D436" s="2" t="n"/>
    </row>
    <row r="437" ht="12.75" customFormat="1" customHeight="1" s="76">
      <c r="A437" s="2" t="n"/>
      <c r="B437" s="2" t="n"/>
      <c r="C437" s="2" t="n"/>
      <c r="D437" s="2" t="n"/>
    </row>
    <row r="438" ht="12.75" customFormat="1" customHeight="1" s="76">
      <c r="A438" s="2" t="n"/>
      <c r="B438" s="2" t="n"/>
      <c r="C438" s="2" t="n"/>
      <c r="D438" s="2" t="n"/>
    </row>
    <row r="439" ht="12.75" customFormat="1" customHeight="1" s="76">
      <c r="A439" s="2" t="n"/>
      <c r="B439" s="2" t="n"/>
      <c r="C439" s="2" t="n"/>
      <c r="D439" s="2" t="n"/>
    </row>
    <row r="440" ht="12.75" customFormat="1" customHeight="1" s="76">
      <c r="A440" s="2" t="n"/>
      <c r="B440" s="2" t="n"/>
      <c r="C440" s="2" t="n"/>
      <c r="D440" s="2" t="n"/>
    </row>
    <row r="441" ht="12.75" customFormat="1" customHeight="1" s="76">
      <c r="A441" s="2" t="n"/>
      <c r="B441" s="2" t="n"/>
      <c r="C441" s="2" t="n"/>
      <c r="D441" s="2" t="n"/>
    </row>
    <row r="442" ht="12.75" customFormat="1" customHeight="1" s="76">
      <c r="A442" s="2" t="n"/>
      <c r="B442" s="2" t="n"/>
      <c r="C442" s="2" t="n"/>
      <c r="D442" s="2" t="n"/>
    </row>
    <row r="443" ht="12.75" customFormat="1" customHeight="1" s="76">
      <c r="A443" s="2" t="n"/>
      <c r="B443" s="2" t="n"/>
      <c r="C443" s="2" t="n"/>
      <c r="D443" s="2" t="n"/>
    </row>
    <row r="444" ht="12.75" customFormat="1" customHeight="1" s="76">
      <c r="A444" s="2" t="n"/>
      <c r="B444" s="2" t="n"/>
      <c r="C444" s="2" t="n"/>
      <c r="D444" s="2" t="n"/>
    </row>
    <row r="445" ht="12.75" customFormat="1" customHeight="1" s="76">
      <c r="A445" s="2" t="n"/>
      <c r="B445" s="2" t="n"/>
      <c r="C445" s="2" t="n"/>
      <c r="D445" s="2" t="n"/>
    </row>
    <row r="446" ht="12.75" customFormat="1" customHeight="1" s="76">
      <c r="A446" s="2" t="n"/>
      <c r="B446" s="2" t="n"/>
      <c r="C446" s="2" t="n"/>
      <c r="D446" s="2" t="n"/>
    </row>
    <row r="447" ht="12.75" customFormat="1" customHeight="1" s="76">
      <c r="A447" s="2" t="n"/>
      <c r="B447" s="2" t="n"/>
      <c r="C447" s="2" t="n"/>
      <c r="D447" s="2" t="n"/>
    </row>
    <row r="448" ht="12.75" customFormat="1" customHeight="1" s="76">
      <c r="A448" s="2" t="n"/>
      <c r="B448" s="2" t="n"/>
      <c r="C448" s="2" t="n"/>
      <c r="D448" s="2" t="n"/>
    </row>
    <row r="449" ht="12.75" customFormat="1" customHeight="1" s="76">
      <c r="A449" s="2" t="n"/>
      <c r="B449" s="2" t="n"/>
      <c r="C449" s="2" t="n"/>
      <c r="D449" s="2" t="n"/>
    </row>
    <row r="450" ht="12.75" customFormat="1" customHeight="1" s="76">
      <c r="A450" s="2" t="n"/>
      <c r="B450" s="2" t="n"/>
      <c r="C450" s="2" t="n"/>
      <c r="D450" s="2" t="n"/>
    </row>
    <row r="451" ht="12.75" customFormat="1" customHeight="1" s="76">
      <c r="A451" s="2" t="n"/>
      <c r="B451" s="2" t="n"/>
      <c r="C451" s="2" t="n"/>
      <c r="D451" s="2" t="n"/>
    </row>
    <row r="452" ht="12.75" customFormat="1" customHeight="1" s="76">
      <c r="A452" s="2" t="n"/>
      <c r="B452" s="2" t="n"/>
      <c r="C452" s="2" t="n"/>
      <c r="D452" s="2" t="n"/>
    </row>
    <row r="453" ht="12.75" customFormat="1" customHeight="1" s="76">
      <c r="A453" s="2" t="n"/>
      <c r="B453" s="2" t="n"/>
      <c r="C453" s="2" t="n"/>
      <c r="D453" s="2" t="n"/>
    </row>
    <row r="454" ht="12.75" customFormat="1" customHeight="1" s="76">
      <c r="A454" s="2" t="n"/>
      <c r="B454" s="2" t="n"/>
      <c r="C454" s="2" t="n"/>
      <c r="D454" s="2" t="n"/>
    </row>
    <row r="455" ht="12.75" customFormat="1" customHeight="1" s="76">
      <c r="A455" s="2" t="n"/>
      <c r="B455" s="2" t="n"/>
      <c r="C455" s="2" t="n"/>
      <c r="D455" s="2" t="n"/>
    </row>
    <row r="456" ht="12.75" customFormat="1" customHeight="1" s="76">
      <c r="A456" s="2" t="n"/>
      <c r="B456" s="2" t="n"/>
      <c r="C456" s="2" t="n"/>
      <c r="D456" s="2" t="n"/>
    </row>
    <row r="457" ht="12.75" customFormat="1" customHeight="1" s="76">
      <c r="A457" s="2" t="n"/>
      <c r="B457" s="2" t="n"/>
      <c r="C457" s="2" t="n"/>
      <c r="D457" s="2" t="n"/>
    </row>
    <row r="458" ht="12.75" customFormat="1" customHeight="1" s="76">
      <c r="A458" s="2" t="n"/>
      <c r="B458" s="2" t="n"/>
      <c r="C458" s="2" t="n"/>
      <c r="D458" s="2" t="n"/>
    </row>
    <row r="459" ht="12.75" customFormat="1" customHeight="1" s="76">
      <c r="A459" s="2" t="n"/>
      <c r="B459" s="2" t="n"/>
      <c r="C459" s="2" t="n"/>
      <c r="D459" s="2" t="n"/>
    </row>
    <row r="460" ht="12.75" customFormat="1" customHeight="1" s="76">
      <c r="A460" s="2" t="n"/>
      <c r="B460" s="2" t="n"/>
      <c r="C460" s="2" t="n"/>
      <c r="D460" s="2" t="n"/>
    </row>
    <row r="461" ht="12.75" customFormat="1" customHeight="1" s="76">
      <c r="A461" s="2" t="n"/>
      <c r="B461" s="2" t="n"/>
      <c r="C461" s="2" t="n"/>
      <c r="D461" s="2" t="n"/>
    </row>
    <row r="462" ht="12.75" customFormat="1" customHeight="1" s="76">
      <c r="A462" s="2" t="n"/>
      <c r="B462" s="2" t="n"/>
      <c r="C462" s="2" t="n"/>
      <c r="D462" s="2" t="n"/>
    </row>
    <row r="463" ht="12.75" customFormat="1" customHeight="1" s="76">
      <c r="A463" s="2" t="n"/>
      <c r="B463" s="2" t="n"/>
      <c r="C463" s="2" t="n"/>
      <c r="D463" s="2" t="n"/>
    </row>
    <row r="464" ht="12.75" customFormat="1" customHeight="1" s="76">
      <c r="A464" s="2" t="n"/>
      <c r="B464" s="2" t="n"/>
      <c r="C464" s="2" t="n"/>
      <c r="D464" s="2" t="n"/>
    </row>
    <row r="465" ht="12.75" customFormat="1" customHeight="1" s="76">
      <c r="A465" s="2" t="n"/>
      <c r="B465" s="2" t="n"/>
      <c r="C465" s="2" t="n"/>
      <c r="D465" s="2" t="n"/>
    </row>
    <row r="466" ht="12.75" customFormat="1" customHeight="1" s="76">
      <c r="A466" s="2" t="n"/>
      <c r="B466" s="2" t="n"/>
      <c r="C466" s="2" t="n"/>
      <c r="D466" s="2" t="n"/>
    </row>
    <row r="467" ht="12.75" customFormat="1" customHeight="1" s="76">
      <c r="A467" s="2" t="n"/>
      <c r="B467" s="2" t="n"/>
      <c r="C467" s="2" t="n"/>
      <c r="D467" s="2" t="n"/>
    </row>
    <row r="468" ht="12.75" customFormat="1" customHeight="1" s="76">
      <c r="A468" s="2" t="n"/>
      <c r="B468" s="2" t="n"/>
      <c r="C468" s="2" t="n"/>
      <c r="D468" s="2" t="n"/>
    </row>
    <row r="469" ht="12.75" customFormat="1" customHeight="1" s="76">
      <c r="A469" s="2" t="n"/>
      <c r="B469" s="2" t="n"/>
      <c r="C469" s="2" t="n"/>
      <c r="D469" s="2" t="n"/>
    </row>
    <row r="470" ht="12.75" customFormat="1" customHeight="1" s="76">
      <c r="A470" s="2" t="n"/>
      <c r="B470" s="2" t="n"/>
      <c r="C470" s="2" t="n"/>
      <c r="D470" s="2" t="n"/>
    </row>
    <row r="471" ht="12.75" customFormat="1" customHeight="1" s="76">
      <c r="A471" s="2" t="n"/>
      <c r="B471" s="2" t="n"/>
      <c r="C471" s="2" t="n"/>
      <c r="D471" s="2" t="n"/>
    </row>
    <row r="472" ht="12.75" customFormat="1" customHeight="1" s="76">
      <c r="A472" s="2" t="n"/>
      <c r="B472" s="2" t="n"/>
      <c r="C472" s="2" t="n"/>
      <c r="D472" s="2" t="n"/>
    </row>
    <row r="473" ht="12.75" customFormat="1" customHeight="1" s="76">
      <c r="A473" s="2" t="n"/>
      <c r="B473" s="2" t="n"/>
      <c r="C473" s="2" t="n"/>
      <c r="D473" s="2" t="n"/>
    </row>
    <row r="474" ht="12.75" customFormat="1" customHeight="1" s="76">
      <c r="A474" s="2" t="n"/>
      <c r="B474" s="2" t="n"/>
      <c r="C474" s="2" t="n"/>
      <c r="D474" s="2" t="n"/>
    </row>
    <row r="475" ht="12.75" customFormat="1" customHeight="1" s="76">
      <c r="A475" s="2" t="n"/>
      <c r="B475" s="2" t="n"/>
      <c r="C475" s="2" t="n"/>
      <c r="D475" s="2" t="n"/>
    </row>
    <row r="476" ht="12.75" customFormat="1" customHeight="1" s="76">
      <c r="A476" s="2" t="n"/>
      <c r="B476" s="2" t="n"/>
      <c r="C476" s="2" t="n"/>
      <c r="D476" s="2" t="n"/>
    </row>
    <row r="477" ht="12.75" customFormat="1" customHeight="1" s="76">
      <c r="A477" s="2" t="n"/>
      <c r="B477" s="2" t="n"/>
      <c r="C477" s="2" t="n"/>
      <c r="D477" s="2" t="n"/>
    </row>
    <row r="478" ht="12.75" customFormat="1" customHeight="1" s="76">
      <c r="A478" s="2" t="n"/>
      <c r="B478" s="2" t="n"/>
      <c r="C478" s="2" t="n"/>
      <c r="D478" s="2" t="n"/>
    </row>
    <row r="479" ht="12.75" customFormat="1" customHeight="1" s="76">
      <c r="A479" s="2" t="n"/>
      <c r="B479" s="2" t="n"/>
      <c r="C479" s="2" t="n"/>
      <c r="D479" s="2" t="n"/>
    </row>
    <row r="480" ht="12.75" customFormat="1" customHeight="1" s="76">
      <c r="A480" s="2" t="n"/>
      <c r="B480" s="2" t="n"/>
      <c r="C480" s="2" t="n"/>
      <c r="D480" s="2" t="n"/>
    </row>
    <row r="481" ht="12.75" customFormat="1" customHeight="1" s="76">
      <c r="A481" s="2" t="n"/>
      <c r="B481" s="2" t="n"/>
      <c r="C481" s="2" t="n"/>
      <c r="D481" s="2" t="n"/>
    </row>
    <row r="482" ht="12.75" customFormat="1" customHeight="1" s="76">
      <c r="A482" s="2" t="n"/>
      <c r="B482" s="2" t="n"/>
      <c r="C482" s="2" t="n"/>
      <c r="D482" s="2" t="n"/>
    </row>
    <row r="483" ht="12.75" customFormat="1" customHeight="1" s="76">
      <c r="A483" s="2" t="n"/>
      <c r="B483" s="2" t="n"/>
      <c r="C483" s="2" t="n"/>
      <c r="D483" s="2" t="n"/>
    </row>
    <row r="484" ht="12.75" customFormat="1" customHeight="1" s="76">
      <c r="A484" s="2" t="n"/>
      <c r="B484" s="2" t="n"/>
      <c r="C484" s="2" t="n"/>
      <c r="D484" s="2" t="n"/>
    </row>
    <row r="485" ht="12.75" customFormat="1" customHeight="1" s="76">
      <c r="A485" s="2" t="n"/>
      <c r="B485" s="2" t="n"/>
      <c r="C485" s="2" t="n"/>
      <c r="D485" s="2" t="n"/>
    </row>
    <row r="486" ht="12.75" customFormat="1" customHeight="1" s="76">
      <c r="A486" s="2" t="n"/>
      <c r="B486" s="2" t="n"/>
      <c r="C486" s="2" t="n"/>
      <c r="D486" s="2" t="n"/>
    </row>
    <row r="487" ht="12.75" customFormat="1" customHeight="1" s="76">
      <c r="A487" s="2" t="n"/>
      <c r="B487" s="2" t="n"/>
      <c r="C487" s="2" t="n"/>
      <c r="D487" s="2" t="n"/>
    </row>
    <row r="488" ht="12.75" customFormat="1" customHeight="1" s="76">
      <c r="A488" s="2" t="n"/>
      <c r="B488" s="2" t="n"/>
      <c r="C488" s="2" t="n"/>
      <c r="D488" s="2" t="n"/>
    </row>
    <row r="489" ht="12.75" customFormat="1" customHeight="1" s="76">
      <c r="A489" s="2" t="n"/>
      <c r="B489" s="2" t="n"/>
      <c r="C489" s="2" t="n"/>
      <c r="D489" s="2" t="n"/>
    </row>
    <row r="490" ht="12.75" customFormat="1" customHeight="1" s="76">
      <c r="A490" s="2" t="n"/>
      <c r="B490" s="2" t="n"/>
      <c r="C490" s="2" t="n"/>
      <c r="D490" s="2" t="n"/>
    </row>
    <row r="491" ht="12.75" customFormat="1" customHeight="1" s="76">
      <c r="A491" s="2" t="n"/>
      <c r="B491" s="2" t="n"/>
      <c r="C491" s="2" t="n"/>
      <c r="D491" s="2" t="n"/>
    </row>
    <row r="492" ht="12.75" customFormat="1" customHeight="1" s="76">
      <c r="A492" s="2" t="n"/>
      <c r="B492" s="2" t="n"/>
      <c r="C492" s="2" t="n"/>
      <c r="D492" s="2" t="n"/>
    </row>
    <row r="493" ht="12.75" customFormat="1" customHeight="1" s="76">
      <c r="A493" s="2" t="n"/>
      <c r="B493" s="2" t="n"/>
      <c r="C493" s="2" t="n"/>
      <c r="D493" s="2" t="n"/>
    </row>
    <row r="494" ht="12.75" customFormat="1" customHeight="1" s="76">
      <c r="A494" s="2" t="n"/>
      <c r="B494" s="2" t="n"/>
      <c r="C494" s="2" t="n"/>
      <c r="D494" s="2" t="n"/>
    </row>
    <row r="495" ht="12.75" customFormat="1" customHeight="1" s="76">
      <c r="A495" s="2" t="n"/>
      <c r="B495" s="2" t="n"/>
      <c r="C495" s="2" t="n"/>
      <c r="D495" s="2" t="n"/>
    </row>
    <row r="496" ht="12.75" customFormat="1" customHeight="1" s="76">
      <c r="A496" s="2" t="n"/>
      <c r="B496" s="2" t="n"/>
      <c r="C496" s="2" t="n"/>
      <c r="D496" s="2" t="n"/>
    </row>
    <row r="497" ht="12.75" customFormat="1" customHeight="1" s="76">
      <c r="A497" s="2" t="n"/>
      <c r="B497" s="2" t="n"/>
      <c r="C497" s="2" t="n"/>
      <c r="D497" s="2" t="n"/>
    </row>
    <row r="498" ht="12.75" customFormat="1" customHeight="1" s="76">
      <c r="A498" s="2" t="n"/>
      <c r="B498" s="2" t="n"/>
      <c r="C498" s="2" t="n"/>
      <c r="D498" s="2" t="n"/>
    </row>
    <row r="499" ht="12.75" customFormat="1" customHeight="1" s="76">
      <c r="A499" s="2" t="n"/>
      <c r="B499" s="2" t="n"/>
      <c r="C499" s="2" t="n"/>
      <c r="D499" s="2" t="n"/>
    </row>
    <row r="500" ht="12.75" customFormat="1" customHeight="1" s="76">
      <c r="A500" s="2" t="n"/>
      <c r="B500" s="2" t="n"/>
      <c r="C500" s="2" t="n"/>
      <c r="D500" s="2" t="n"/>
    </row>
    <row r="501" ht="12.75" customFormat="1" customHeight="1" s="76">
      <c r="A501" s="2" t="n"/>
      <c r="B501" s="2" t="n"/>
      <c r="C501" s="2" t="n"/>
      <c r="D501" s="2" t="n"/>
    </row>
    <row r="502" ht="12.75" customFormat="1" customHeight="1" s="76">
      <c r="A502" s="2" t="n"/>
      <c r="B502" s="2" t="n"/>
      <c r="C502" s="2" t="n"/>
      <c r="D502" s="2" t="n"/>
    </row>
    <row r="503" ht="12.75" customFormat="1" customHeight="1" s="76">
      <c r="A503" s="2" t="n"/>
      <c r="B503" s="2" t="n"/>
      <c r="C503" s="2" t="n"/>
      <c r="D503" s="2" t="n"/>
    </row>
    <row r="504" ht="12.75" customFormat="1" customHeight="1" s="76">
      <c r="A504" s="2" t="n"/>
      <c r="B504" s="2" t="n"/>
      <c r="C504" s="2" t="n"/>
      <c r="D504" s="2" t="n"/>
    </row>
    <row r="505" ht="12.75" customFormat="1" customHeight="1" s="76">
      <c r="A505" s="2" t="n"/>
      <c r="B505" s="2" t="n"/>
      <c r="C505" s="2" t="n"/>
      <c r="D505" s="2" t="n"/>
    </row>
    <row r="506" ht="12.75" customFormat="1" customHeight="1" s="76">
      <c r="A506" s="2" t="n"/>
      <c r="B506" s="2" t="n"/>
      <c r="C506" s="2" t="n"/>
      <c r="D506" s="2" t="n"/>
    </row>
    <row r="507" ht="12.75" customFormat="1" customHeight="1" s="76">
      <c r="A507" s="2" t="n"/>
      <c r="B507" s="2" t="n"/>
      <c r="C507" s="2" t="n"/>
      <c r="D507" s="2" t="n"/>
    </row>
    <row r="508" ht="12.75" customFormat="1" customHeight="1" s="76">
      <c r="A508" s="2" t="n"/>
      <c r="B508" s="2" t="n"/>
      <c r="C508" s="2" t="n"/>
      <c r="D508" s="2" t="n"/>
    </row>
    <row r="509" ht="12.75" customFormat="1" customHeight="1" s="76">
      <c r="A509" s="2" t="n"/>
      <c r="B509" s="2" t="n"/>
      <c r="C509" s="2" t="n"/>
      <c r="D509" s="2" t="n"/>
    </row>
    <row r="510" ht="12.75" customFormat="1" customHeight="1" s="76">
      <c r="A510" s="2" t="n"/>
      <c r="B510" s="2" t="n"/>
      <c r="C510" s="2" t="n"/>
      <c r="D510" s="2" t="n"/>
    </row>
    <row r="511" ht="12.75" customFormat="1" customHeight="1" s="76">
      <c r="A511" s="2" t="n"/>
      <c r="B511" s="2" t="n"/>
      <c r="C511" s="2" t="n"/>
      <c r="D511" s="2" t="n"/>
    </row>
    <row r="512" ht="12.75" customFormat="1" customHeight="1" s="76">
      <c r="A512" s="2" t="n"/>
      <c r="B512" s="2" t="n"/>
      <c r="C512" s="2" t="n"/>
      <c r="D512" s="2" t="n"/>
    </row>
    <row r="513" ht="12.75" customFormat="1" customHeight="1" s="76">
      <c r="A513" s="2" t="n"/>
      <c r="B513" s="2" t="n"/>
      <c r="C513" s="2" t="n"/>
      <c r="D513" s="2" t="n"/>
    </row>
    <row r="514" ht="12.75" customFormat="1" customHeight="1" s="76">
      <c r="A514" s="2" t="n"/>
      <c r="B514" s="2" t="n"/>
      <c r="C514" s="2" t="n"/>
      <c r="D514" s="2" t="n"/>
    </row>
    <row r="515" ht="12.75" customFormat="1" customHeight="1" s="76">
      <c r="A515" s="2" t="n"/>
      <c r="B515" s="2" t="n"/>
      <c r="C515" s="2" t="n"/>
      <c r="D515" s="2" t="n"/>
    </row>
    <row r="516" ht="12.75" customFormat="1" customHeight="1" s="76">
      <c r="A516" s="2" t="n"/>
      <c r="B516" s="2" t="n"/>
      <c r="C516" s="2" t="n"/>
      <c r="D516" s="2" t="n"/>
    </row>
    <row r="517" ht="12.75" customFormat="1" customHeight="1" s="76">
      <c r="A517" s="2" t="n"/>
      <c r="B517" s="2" t="n"/>
      <c r="C517" s="2" t="n"/>
      <c r="D517" s="2" t="n"/>
    </row>
    <row r="518" ht="12.75" customFormat="1" customHeight="1" s="76">
      <c r="A518" s="2" t="n"/>
      <c r="B518" s="2" t="n"/>
      <c r="C518" s="2" t="n"/>
      <c r="D518" s="2" t="n"/>
    </row>
    <row r="519" ht="12.75" customFormat="1" customHeight="1" s="76">
      <c r="A519" s="2" t="n"/>
      <c r="B519" s="2" t="n"/>
      <c r="C519" s="2" t="n"/>
      <c r="D519" s="2" t="n"/>
    </row>
    <row r="520" ht="12.75" customFormat="1" customHeight="1" s="76">
      <c r="A520" s="2" t="n"/>
      <c r="B520" s="2" t="n"/>
      <c r="C520" s="2" t="n"/>
      <c r="D520" s="2" t="n"/>
    </row>
    <row r="521" ht="12.75" customFormat="1" customHeight="1" s="76">
      <c r="A521" s="2" t="n"/>
      <c r="B521" s="2" t="n"/>
      <c r="C521" s="2" t="n"/>
      <c r="D521" s="2" t="n"/>
    </row>
    <row r="522" ht="12.75" customFormat="1" customHeight="1" s="76">
      <c r="A522" s="2" t="n"/>
      <c r="B522" s="2" t="n"/>
      <c r="C522" s="2" t="n"/>
      <c r="D522" s="2" t="n"/>
    </row>
    <row r="523" ht="12.75" customFormat="1" customHeight="1" s="76">
      <c r="A523" s="2" t="n"/>
      <c r="B523" s="2" t="n"/>
      <c r="C523" s="2" t="n"/>
      <c r="D523" s="2" t="n"/>
    </row>
    <row r="524" ht="12.75" customFormat="1" customHeight="1" s="76">
      <c r="A524" s="2" t="n"/>
      <c r="B524" s="2" t="n"/>
      <c r="C524" s="2" t="n"/>
      <c r="D524" s="2" t="n"/>
    </row>
    <row r="525" ht="12.75" customFormat="1" customHeight="1" s="76">
      <c r="A525" s="2" t="n"/>
      <c r="B525" s="2" t="n"/>
      <c r="C525" s="2" t="n"/>
      <c r="D525" s="2" t="n"/>
    </row>
    <row r="526" ht="12.75" customFormat="1" customHeight="1" s="76">
      <c r="A526" s="2" t="n"/>
      <c r="B526" s="2" t="n"/>
      <c r="C526" s="2" t="n"/>
      <c r="D526" s="2" t="n"/>
    </row>
    <row r="527" ht="12.75" customFormat="1" customHeight="1" s="76">
      <c r="A527" s="2" t="n"/>
      <c r="B527" s="2" t="n"/>
      <c r="C527" s="2" t="n"/>
      <c r="D527" s="2" t="n"/>
    </row>
    <row r="528" ht="12.75" customFormat="1" customHeight="1" s="76">
      <c r="A528" s="2" t="n"/>
      <c r="B528" s="2" t="n"/>
      <c r="C528" s="2" t="n"/>
      <c r="D528" s="2" t="n"/>
    </row>
    <row r="529" ht="12.75" customFormat="1" customHeight="1" s="76">
      <c r="A529" s="2" t="n"/>
      <c r="B529" s="2" t="n"/>
      <c r="C529" s="2" t="n"/>
      <c r="D529" s="2" t="n"/>
    </row>
    <row r="530" ht="12.75" customFormat="1" customHeight="1" s="76">
      <c r="A530" s="2" t="n"/>
      <c r="B530" s="2" t="n"/>
      <c r="C530" s="2" t="n"/>
      <c r="D530" s="2" t="n"/>
    </row>
    <row r="531" ht="12.75" customFormat="1" customHeight="1" s="76">
      <c r="A531" s="2" t="n"/>
      <c r="B531" s="2" t="n"/>
      <c r="C531" s="2" t="n"/>
      <c r="D531" s="2" t="n"/>
    </row>
    <row r="532" ht="12.75" customFormat="1" customHeight="1" s="76">
      <c r="A532" s="2" t="n"/>
      <c r="B532" s="2" t="n"/>
      <c r="C532" s="2" t="n"/>
      <c r="D532" s="2" t="n"/>
    </row>
    <row r="533" ht="12.75" customFormat="1" customHeight="1" s="76">
      <c r="A533" s="2" t="n"/>
      <c r="B533" s="2" t="n"/>
      <c r="C533" s="2" t="n"/>
      <c r="D533" s="2" t="n"/>
    </row>
    <row r="534" ht="12.75" customFormat="1" customHeight="1" s="76">
      <c r="A534" s="2" t="n"/>
      <c r="B534" s="2" t="n"/>
      <c r="C534" s="2" t="n"/>
      <c r="D534" s="2" t="n"/>
    </row>
    <row r="535" ht="12.75" customFormat="1" customHeight="1" s="76">
      <c r="A535" s="2" t="n"/>
      <c r="B535" s="2" t="n"/>
      <c r="C535" s="2" t="n"/>
      <c r="D535" s="2" t="n"/>
    </row>
    <row r="536" ht="12.75" customFormat="1" customHeight="1" s="76">
      <c r="A536" s="2" t="n"/>
      <c r="B536" s="2" t="n"/>
      <c r="C536" s="2" t="n"/>
      <c r="D536" s="2" t="n"/>
    </row>
    <row r="537" ht="12.75" customFormat="1" customHeight="1" s="76">
      <c r="A537" s="2" t="n"/>
      <c r="B537" s="2" t="n"/>
      <c r="C537" s="2" t="n"/>
      <c r="D537" s="2" t="n"/>
    </row>
    <row r="538" ht="12.75" customFormat="1" customHeight="1" s="76">
      <c r="A538" s="2" t="n"/>
      <c r="B538" s="2" t="n"/>
      <c r="C538" s="2" t="n"/>
      <c r="D538" s="2" t="n"/>
    </row>
    <row r="539" ht="12.75" customFormat="1" customHeight="1" s="76">
      <c r="A539" s="2" t="n"/>
      <c r="B539" s="2" t="n"/>
      <c r="C539" s="2" t="n"/>
      <c r="D539" s="2" t="n"/>
    </row>
    <row r="540" ht="12.75" customFormat="1" customHeight="1" s="76">
      <c r="A540" s="2" t="n"/>
      <c r="B540" s="2" t="n"/>
      <c r="C540" s="2" t="n"/>
      <c r="D540" s="2" t="n"/>
    </row>
    <row r="541" ht="12.75" customFormat="1" customHeight="1" s="76">
      <c r="A541" s="2" t="n"/>
      <c r="B541" s="2" t="n"/>
      <c r="C541" s="2" t="n"/>
      <c r="D541" s="2" t="n"/>
    </row>
    <row r="542" ht="12.75" customFormat="1" customHeight="1" s="76">
      <c r="A542" s="2" t="n"/>
      <c r="B542" s="2" t="n"/>
      <c r="C542" s="2" t="n"/>
      <c r="D542" s="2" t="n"/>
    </row>
    <row r="543" ht="12.75" customFormat="1" customHeight="1" s="76">
      <c r="A543" s="2" t="n"/>
      <c r="B543" s="2" t="n"/>
      <c r="C543" s="2" t="n"/>
      <c r="D543" s="2" t="n"/>
    </row>
    <row r="544" ht="12.75" customFormat="1" customHeight="1" s="76">
      <c r="A544" s="2" t="n"/>
      <c r="B544" s="2" t="n"/>
      <c r="C544" s="2" t="n"/>
      <c r="D544" s="2" t="n"/>
    </row>
    <row r="545" ht="12.75" customFormat="1" customHeight="1" s="76">
      <c r="A545" s="2" t="n"/>
      <c r="B545" s="2" t="n"/>
      <c r="C545" s="2" t="n"/>
      <c r="D545" s="2" t="n"/>
    </row>
    <row r="546" ht="12.75" customFormat="1" customHeight="1" s="76">
      <c r="A546" s="2" t="n"/>
      <c r="B546" s="2" t="n"/>
      <c r="C546" s="2" t="n"/>
      <c r="D546" s="2" t="n"/>
    </row>
    <row r="547" ht="12.75" customFormat="1" customHeight="1" s="76">
      <c r="A547" s="2" t="n"/>
      <c r="B547" s="2" t="n"/>
      <c r="C547" s="2" t="n"/>
      <c r="D547" s="2" t="n"/>
    </row>
    <row r="548" ht="12.75" customFormat="1" customHeight="1" s="76">
      <c r="A548" s="2" t="n"/>
      <c r="B548" s="2" t="n"/>
      <c r="C548" s="2" t="n"/>
      <c r="D548" s="2" t="n"/>
    </row>
    <row r="549" ht="12.75" customFormat="1" customHeight="1" s="76">
      <c r="A549" s="2" t="n"/>
      <c r="B549" s="2" t="n"/>
      <c r="C549" s="2" t="n"/>
      <c r="D549" s="2" t="n"/>
    </row>
    <row r="550" ht="12.75" customFormat="1" customHeight="1" s="76">
      <c r="A550" s="2" t="n"/>
      <c r="B550" s="2" t="n"/>
      <c r="C550" s="2" t="n"/>
      <c r="D550" s="2" t="n"/>
    </row>
    <row r="551" ht="12.75" customFormat="1" customHeight="1" s="76">
      <c r="A551" s="2" t="n"/>
      <c r="B551" s="2" t="n"/>
      <c r="C551" s="2" t="n"/>
      <c r="D551" s="2" t="n"/>
    </row>
    <row r="552" ht="12.75" customFormat="1" customHeight="1" s="76">
      <c r="A552" s="2" t="n"/>
      <c r="B552" s="2" t="n"/>
      <c r="C552" s="2" t="n"/>
      <c r="D552" s="2" t="n"/>
    </row>
    <row r="553" ht="12.75" customFormat="1" customHeight="1" s="76">
      <c r="A553" s="2" t="n"/>
      <c r="B553" s="2" t="n"/>
      <c r="C553" s="2" t="n"/>
      <c r="D553" s="2" t="n"/>
    </row>
    <row r="554" ht="12.75" customFormat="1" customHeight="1" s="76">
      <c r="A554" s="2" t="n"/>
      <c r="B554" s="2" t="n"/>
      <c r="C554" s="2" t="n"/>
      <c r="D554" s="2" t="n"/>
    </row>
    <row r="555" ht="12.75" customFormat="1" customHeight="1" s="76">
      <c r="A555" s="2" t="n"/>
      <c r="B555" s="2" t="n"/>
      <c r="C555" s="2" t="n"/>
      <c r="D555" s="2" t="n"/>
    </row>
    <row r="556" ht="12.75" customFormat="1" customHeight="1" s="76">
      <c r="A556" s="2" t="n"/>
      <c r="B556" s="2" t="n"/>
      <c r="C556" s="2" t="n"/>
      <c r="D556" s="2" t="n"/>
    </row>
    <row r="557" ht="12.75" customFormat="1" customHeight="1" s="76">
      <c r="A557" s="2" t="n"/>
      <c r="B557" s="2" t="n"/>
      <c r="C557" s="2" t="n"/>
      <c r="D557" s="2" t="n"/>
    </row>
    <row r="558" ht="12.75" customFormat="1" customHeight="1" s="76">
      <c r="A558" s="2" t="n"/>
      <c r="B558" s="2" t="n"/>
      <c r="C558" s="2" t="n"/>
      <c r="D558" s="2" t="n"/>
    </row>
    <row r="559" ht="12.75" customFormat="1" customHeight="1" s="76">
      <c r="A559" s="2" t="n"/>
      <c r="B559" s="2" t="n"/>
      <c r="C559" s="2" t="n"/>
      <c r="D559" s="2" t="n"/>
    </row>
    <row r="560" ht="12.75" customFormat="1" customHeight="1" s="76">
      <c r="A560" s="2" t="n"/>
      <c r="B560" s="2" t="n"/>
      <c r="C560" s="2" t="n"/>
      <c r="D560" s="2" t="n"/>
    </row>
    <row r="561" ht="12.75" customFormat="1" customHeight="1" s="76">
      <c r="A561" s="2" t="n"/>
      <c r="B561" s="2" t="n"/>
      <c r="C561" s="2" t="n"/>
      <c r="D561" s="2" t="n"/>
    </row>
    <row r="562" ht="12.75" customFormat="1" customHeight="1" s="76">
      <c r="A562" s="2" t="n"/>
      <c r="B562" s="2" t="n"/>
      <c r="C562" s="2" t="n"/>
      <c r="D562" s="2" t="n"/>
    </row>
    <row r="563" ht="12.75" customFormat="1" customHeight="1" s="76">
      <c r="A563" s="2" t="n"/>
      <c r="B563" s="2" t="n"/>
      <c r="C563" s="2" t="n"/>
      <c r="D563" s="2" t="n"/>
    </row>
    <row r="564" ht="12.75" customFormat="1" customHeight="1" s="76">
      <c r="A564" s="2" t="n"/>
      <c r="B564" s="2" t="n"/>
      <c r="C564" s="2" t="n"/>
      <c r="D564" s="2" t="n"/>
    </row>
    <row r="565" ht="12.75" customFormat="1" customHeight="1" s="76">
      <c r="A565" s="2" t="n"/>
      <c r="B565" s="2" t="n"/>
      <c r="C565" s="2" t="n"/>
      <c r="D565" s="2" t="n"/>
    </row>
    <row r="566" ht="12.75" customFormat="1" customHeight="1" s="76">
      <c r="A566" s="2" t="n"/>
      <c r="B566" s="2" t="n"/>
      <c r="C566" s="2" t="n"/>
      <c r="D566" s="2" t="n"/>
    </row>
    <row r="567" ht="12.75" customFormat="1" customHeight="1" s="76">
      <c r="A567" s="2" t="n"/>
      <c r="B567" s="2" t="n"/>
      <c r="C567" s="2" t="n"/>
      <c r="D567" s="2" t="n"/>
    </row>
    <row r="568" ht="12.75" customFormat="1" customHeight="1" s="76">
      <c r="A568" s="2" t="n"/>
      <c r="B568" s="2" t="n"/>
      <c r="C568" s="2" t="n"/>
      <c r="D568" s="2" t="n"/>
    </row>
    <row r="569" ht="12.75" customFormat="1" customHeight="1" s="76">
      <c r="A569" s="2" t="n"/>
      <c r="B569" s="2" t="n"/>
      <c r="C569" s="2" t="n"/>
      <c r="D569" s="2" t="n"/>
    </row>
    <row r="570" ht="12.75" customFormat="1" customHeight="1" s="76">
      <c r="A570" s="2" t="n"/>
      <c r="B570" s="2" t="n"/>
      <c r="C570" s="2" t="n"/>
      <c r="D570" s="2" t="n"/>
    </row>
    <row r="571" ht="12.75" customFormat="1" customHeight="1" s="76">
      <c r="A571" s="2" t="n"/>
      <c r="B571" s="2" t="n"/>
      <c r="C571" s="2" t="n"/>
      <c r="D571" s="2" t="n"/>
    </row>
    <row r="572" ht="12.75" customFormat="1" customHeight="1" s="76">
      <c r="A572" s="2" t="n"/>
      <c r="B572" s="2" t="n"/>
      <c r="C572" s="2" t="n"/>
      <c r="D572" s="2" t="n"/>
    </row>
    <row r="573" ht="12.75" customFormat="1" customHeight="1" s="76">
      <c r="A573" s="2" t="n"/>
      <c r="B573" s="2" t="n"/>
      <c r="C573" s="2" t="n"/>
      <c r="D573" s="2" t="n"/>
    </row>
    <row r="574" ht="12.75" customFormat="1" customHeight="1" s="76">
      <c r="A574" s="2" t="n"/>
      <c r="B574" s="2" t="n"/>
      <c r="C574" s="2" t="n"/>
      <c r="D574" s="2" t="n"/>
    </row>
    <row r="575" ht="12.75" customFormat="1" customHeight="1" s="76">
      <c r="A575" s="2" t="n"/>
      <c r="B575" s="2" t="n"/>
      <c r="C575" s="2" t="n"/>
      <c r="D575" s="2" t="n"/>
    </row>
    <row r="576" ht="12.75" customFormat="1" customHeight="1" s="76">
      <c r="A576" s="2" t="n"/>
      <c r="B576" s="2" t="n"/>
      <c r="C576" s="2" t="n"/>
      <c r="D576" s="2" t="n"/>
    </row>
    <row r="577" ht="12.75" customFormat="1" customHeight="1" s="76">
      <c r="A577" s="2" t="n"/>
      <c r="B577" s="2" t="n"/>
      <c r="C577" s="2" t="n"/>
      <c r="D577" s="2" t="n"/>
    </row>
    <row r="578" ht="12.75" customFormat="1" customHeight="1" s="76">
      <c r="A578" s="2" t="n"/>
      <c r="B578" s="2" t="n"/>
      <c r="C578" s="2" t="n"/>
      <c r="D578" s="2" t="n"/>
    </row>
    <row r="579" ht="12.75" customFormat="1" customHeight="1" s="76">
      <c r="A579" s="2" t="n"/>
      <c r="B579" s="2" t="n"/>
      <c r="C579" s="2" t="n"/>
      <c r="D579" s="2" t="n"/>
    </row>
    <row r="580" ht="12.75" customFormat="1" customHeight="1" s="76">
      <c r="A580" s="2" t="n"/>
      <c r="B580" s="2" t="n"/>
      <c r="C580" s="2" t="n"/>
      <c r="D580" s="2" t="n"/>
    </row>
    <row r="581" ht="12.75" customFormat="1" customHeight="1" s="76">
      <c r="A581" s="2" t="n"/>
      <c r="B581" s="2" t="n"/>
      <c r="C581" s="2" t="n"/>
      <c r="D581" s="2" t="n"/>
    </row>
    <row r="582" ht="12.75" customFormat="1" customHeight="1" s="76">
      <c r="A582" s="2" t="n"/>
      <c r="B582" s="2" t="n"/>
      <c r="C582" s="2" t="n"/>
      <c r="D582" s="2" t="n"/>
    </row>
    <row r="583" ht="12.75" customFormat="1" customHeight="1" s="76">
      <c r="A583" s="2" t="n"/>
      <c r="B583" s="2" t="n"/>
      <c r="C583" s="2" t="n"/>
      <c r="D583" s="2" t="n"/>
    </row>
    <row r="584" ht="12.75" customFormat="1" customHeight="1" s="76">
      <c r="A584" s="2" t="n"/>
      <c r="B584" s="2" t="n"/>
      <c r="C584" s="2" t="n"/>
      <c r="D584" s="2" t="n"/>
    </row>
    <row r="585" ht="12.75" customFormat="1" customHeight="1" s="76">
      <c r="A585" s="2" t="n"/>
      <c r="B585" s="2" t="n"/>
      <c r="C585" s="2" t="n"/>
      <c r="D585" s="2" t="n"/>
    </row>
    <row r="586" ht="12.75" customFormat="1" customHeight="1" s="76">
      <c r="A586" s="2" t="n"/>
      <c r="B586" s="2" t="n"/>
      <c r="C586" s="2" t="n"/>
      <c r="D586" s="2" t="n"/>
    </row>
    <row r="587" ht="12.75" customFormat="1" customHeight="1" s="76">
      <c r="A587" s="2" t="n"/>
      <c r="B587" s="2" t="n"/>
      <c r="C587" s="2" t="n"/>
      <c r="D587" s="2" t="n"/>
    </row>
    <row r="588" ht="12.75" customFormat="1" customHeight="1" s="76">
      <c r="A588" s="2" t="n"/>
      <c r="B588" s="2" t="n"/>
      <c r="C588" s="2" t="n"/>
      <c r="D588" s="2" t="n"/>
    </row>
    <row r="589" ht="12.75" customFormat="1" customHeight="1" s="76">
      <c r="A589" s="2" t="n"/>
      <c r="B589" s="2" t="n"/>
      <c r="C589" s="2" t="n"/>
      <c r="D589" s="2" t="n"/>
    </row>
    <row r="590" ht="12.75" customFormat="1" customHeight="1" s="76">
      <c r="A590" s="2" t="n"/>
      <c r="B590" s="2" t="n"/>
      <c r="C590" s="2" t="n"/>
      <c r="D590" s="2" t="n"/>
    </row>
    <row r="591" ht="12.75" customFormat="1" customHeight="1" s="76">
      <c r="A591" s="2" t="n"/>
      <c r="B591" s="2" t="n"/>
      <c r="C591" s="2" t="n"/>
      <c r="D591" s="2" t="n"/>
    </row>
    <row r="592" ht="12.75" customFormat="1" customHeight="1" s="76">
      <c r="A592" s="2" t="n"/>
      <c r="B592" s="2" t="n"/>
      <c r="C592" s="2" t="n"/>
      <c r="D592" s="2" t="n"/>
    </row>
    <row r="593" ht="12.75" customFormat="1" customHeight="1" s="76">
      <c r="A593" s="2" t="n"/>
      <c r="B593" s="2" t="n"/>
      <c r="C593" s="2" t="n"/>
      <c r="D593" s="2" t="n"/>
    </row>
    <row r="594" ht="12.75" customFormat="1" customHeight="1" s="76">
      <c r="A594" s="2" t="n"/>
      <c r="B594" s="2" t="n"/>
      <c r="C594" s="2" t="n"/>
      <c r="D594" s="2" t="n"/>
    </row>
    <row r="595" ht="12.75" customFormat="1" customHeight="1" s="76">
      <c r="A595" s="2" t="n"/>
      <c r="B595" s="2" t="n"/>
      <c r="C595" s="2" t="n"/>
      <c r="D595" s="2" t="n"/>
    </row>
    <row r="596" ht="12.75" customFormat="1" customHeight="1" s="76">
      <c r="A596" s="2" t="n"/>
      <c r="B596" s="2" t="n"/>
      <c r="C596" s="2" t="n"/>
      <c r="D596" s="2" t="n"/>
    </row>
    <row r="597" ht="12.75" customFormat="1" customHeight="1" s="76">
      <c r="A597" s="2" t="n"/>
      <c r="B597" s="2" t="n"/>
      <c r="C597" s="2" t="n"/>
      <c r="D597" s="2" t="n"/>
    </row>
    <row r="598" ht="12.75" customFormat="1" customHeight="1" s="76">
      <c r="A598" s="2" t="n"/>
      <c r="B598" s="2" t="n"/>
      <c r="C598" s="2" t="n"/>
      <c r="D598" s="2" t="n"/>
    </row>
    <row r="599" ht="12.75" customFormat="1" customHeight="1" s="76">
      <c r="A599" s="2" t="n"/>
      <c r="B599" s="2" t="n"/>
      <c r="C599" s="2" t="n"/>
      <c r="D599" s="2" t="n"/>
    </row>
    <row r="600" ht="12.75" customFormat="1" customHeight="1" s="76">
      <c r="A600" s="2" t="n"/>
      <c r="B600" s="2" t="n"/>
      <c r="C600" s="2" t="n"/>
      <c r="D600" s="2" t="n"/>
    </row>
    <row r="601" ht="12.75" customFormat="1" customHeight="1" s="76">
      <c r="A601" s="2" t="n"/>
      <c r="B601" s="2" t="n"/>
      <c r="C601" s="2" t="n"/>
      <c r="D601" s="2" t="n"/>
    </row>
    <row r="602" ht="12.75" customFormat="1" customHeight="1" s="76">
      <c r="A602" s="2" t="n"/>
      <c r="B602" s="2" t="n"/>
      <c r="C602" s="2" t="n"/>
      <c r="D602" s="2" t="n"/>
    </row>
    <row r="603" ht="12.75" customFormat="1" customHeight="1" s="76">
      <c r="A603" s="2" t="n"/>
      <c r="B603" s="2" t="n"/>
      <c r="C603" s="2" t="n"/>
      <c r="D603" s="2" t="n"/>
    </row>
    <row r="604" ht="12.75" customFormat="1" customHeight="1" s="76">
      <c r="A604" s="2" t="n"/>
      <c r="B604" s="2" t="n"/>
      <c r="C604" s="2" t="n"/>
      <c r="D604" s="2" t="n"/>
    </row>
    <row r="605" ht="12.75" customFormat="1" customHeight="1" s="76">
      <c r="A605" s="2" t="n"/>
      <c r="B605" s="2" t="n"/>
      <c r="C605" s="2" t="n"/>
      <c r="D605" s="2" t="n"/>
    </row>
    <row r="606" ht="12.75" customFormat="1" customHeight="1" s="76">
      <c r="A606" s="2" t="n"/>
      <c r="B606" s="2" t="n"/>
      <c r="C606" s="2" t="n"/>
      <c r="D606" s="2" t="n"/>
    </row>
    <row r="607" ht="12.75" customFormat="1" customHeight="1" s="76">
      <c r="A607" s="2" t="n"/>
      <c r="B607" s="2" t="n"/>
      <c r="C607" s="2" t="n"/>
      <c r="D607" s="2" t="n"/>
    </row>
    <row r="608" ht="12.75" customFormat="1" customHeight="1" s="76">
      <c r="A608" s="2" t="n"/>
      <c r="B608" s="2" t="n"/>
      <c r="C608" s="2" t="n"/>
      <c r="D608" s="2" t="n"/>
    </row>
    <row r="609" ht="12.75" customFormat="1" customHeight="1" s="76">
      <c r="A609" s="2" t="n"/>
      <c r="B609" s="2" t="n"/>
      <c r="C609" s="2" t="n"/>
      <c r="D609" s="2" t="n"/>
    </row>
    <row r="610" ht="12.75" customFormat="1" customHeight="1" s="76">
      <c r="A610" s="2" t="n"/>
      <c r="B610" s="2" t="n"/>
      <c r="C610" s="2" t="n"/>
      <c r="D610" s="2" t="n"/>
    </row>
    <row r="611" ht="12.75" customFormat="1" customHeight="1" s="76">
      <c r="A611" s="2" t="n"/>
      <c r="B611" s="2" t="n"/>
      <c r="C611" s="2" t="n"/>
      <c r="D611" s="2" t="n"/>
    </row>
    <row r="612" ht="12.75" customFormat="1" customHeight="1" s="76">
      <c r="A612" s="2" t="n"/>
      <c r="B612" s="2" t="n"/>
      <c r="C612" s="2" t="n"/>
      <c r="D612" s="2" t="n"/>
    </row>
    <row r="613" ht="12.75" customFormat="1" customHeight="1" s="76">
      <c r="A613" s="2" t="n"/>
      <c r="B613" s="2" t="n"/>
      <c r="C613" s="2" t="n"/>
      <c r="D613" s="2" t="n"/>
    </row>
    <row r="614" ht="12.75" customFormat="1" customHeight="1" s="76">
      <c r="A614" s="2" t="n"/>
      <c r="B614" s="2" t="n"/>
      <c r="C614" s="2" t="n"/>
      <c r="D614" s="2" t="n"/>
    </row>
    <row r="615" ht="12.75" customFormat="1" customHeight="1" s="76">
      <c r="A615" s="2" t="n"/>
      <c r="B615" s="2" t="n"/>
      <c r="C615" s="2" t="n"/>
      <c r="D615" s="2" t="n"/>
    </row>
    <row r="616" ht="12.75" customFormat="1" customHeight="1" s="76">
      <c r="A616" s="2" t="n"/>
      <c r="B616" s="2" t="n"/>
      <c r="C616" s="2" t="n"/>
      <c r="D616" s="2" t="n"/>
    </row>
    <row r="617" ht="12.75" customFormat="1" customHeight="1" s="76">
      <c r="A617" s="2" t="n"/>
      <c r="B617" s="2" t="n"/>
      <c r="C617" s="2" t="n"/>
      <c r="D617" s="2" t="n"/>
    </row>
    <row r="618" ht="12.75" customFormat="1" customHeight="1" s="76">
      <c r="A618" s="2" t="n"/>
      <c r="B618" s="2" t="n"/>
      <c r="C618" s="2" t="n"/>
      <c r="D618" s="2" t="n"/>
    </row>
    <row r="619" ht="12.75" customFormat="1" customHeight="1" s="76">
      <c r="A619" s="2" t="n"/>
      <c r="B619" s="2" t="n"/>
      <c r="C619" s="2" t="n"/>
      <c r="D619" s="2" t="n"/>
    </row>
    <row r="620" ht="12.75" customFormat="1" customHeight="1" s="76">
      <c r="A620" s="2" t="n"/>
      <c r="B620" s="2" t="n"/>
      <c r="C620" s="2" t="n"/>
      <c r="D620" s="2" t="n"/>
    </row>
    <row r="621" ht="12.75" customFormat="1" customHeight="1" s="76">
      <c r="A621" s="2" t="n"/>
      <c r="B621" s="2" t="n"/>
      <c r="C621" s="2" t="n"/>
      <c r="D621" s="2" t="n"/>
    </row>
    <row r="622" ht="12.75" customFormat="1" customHeight="1" s="76">
      <c r="A622" s="2" t="n"/>
      <c r="B622" s="2" t="n"/>
      <c r="C622" s="2" t="n"/>
      <c r="D622" s="2" t="n"/>
    </row>
    <row r="623" ht="12.75" customFormat="1" customHeight="1" s="76">
      <c r="A623" s="2" t="n"/>
      <c r="B623" s="2" t="n"/>
      <c r="C623" s="2" t="n"/>
      <c r="D623" s="2" t="n"/>
    </row>
    <row r="624" ht="12.75" customFormat="1" customHeight="1" s="76">
      <c r="A624" s="2" t="n"/>
      <c r="B624" s="2" t="n"/>
      <c r="C624" s="2" t="n"/>
      <c r="D624" s="2" t="n"/>
    </row>
    <row r="625" ht="12.75" customFormat="1" customHeight="1" s="76">
      <c r="A625" s="2" t="n"/>
      <c r="B625" s="2" t="n"/>
      <c r="C625" s="2" t="n"/>
      <c r="D625" s="2" t="n"/>
    </row>
    <row r="626" ht="12.75" customFormat="1" customHeight="1" s="76">
      <c r="A626" s="2" t="n"/>
      <c r="B626" s="2" t="n"/>
      <c r="C626" s="2" t="n"/>
      <c r="D626" s="2" t="n"/>
    </row>
    <row r="627" ht="12.75" customFormat="1" customHeight="1" s="76">
      <c r="A627" s="2" t="n"/>
      <c r="B627" s="2" t="n"/>
      <c r="C627" s="2" t="n"/>
      <c r="D627" s="2" t="n"/>
    </row>
    <row r="628" ht="12.75" customFormat="1" customHeight="1" s="76">
      <c r="A628" s="2" t="n"/>
      <c r="B628" s="2" t="n"/>
      <c r="C628" s="2" t="n"/>
      <c r="D628" s="2" t="n"/>
    </row>
    <row r="629" ht="12.75" customFormat="1" customHeight="1" s="76">
      <c r="A629" s="2" t="n"/>
      <c r="B629" s="2" t="n"/>
      <c r="C629" s="2" t="n"/>
      <c r="D629" s="2" t="n"/>
    </row>
    <row r="630" ht="12.75" customFormat="1" customHeight="1" s="76">
      <c r="A630" s="2" t="n"/>
      <c r="B630" s="2" t="n"/>
      <c r="C630" s="2" t="n"/>
      <c r="D630" s="2" t="n"/>
    </row>
    <row r="631" ht="12.75" customFormat="1" customHeight="1" s="76">
      <c r="A631" s="2" t="n"/>
      <c r="B631" s="2" t="n"/>
      <c r="C631" s="2" t="n"/>
      <c r="D631" s="2" t="n"/>
    </row>
    <row r="632" ht="12.75" customFormat="1" customHeight="1" s="76">
      <c r="A632" s="2" t="n"/>
      <c r="B632" s="2" t="n"/>
      <c r="C632" s="2" t="n"/>
      <c r="D632" s="2" t="n"/>
    </row>
    <row r="633" ht="12.75" customFormat="1" customHeight="1" s="76">
      <c r="A633" s="2" t="n"/>
      <c r="B633" s="2" t="n"/>
      <c r="C633" s="2" t="n"/>
      <c r="D633" s="2" t="n"/>
    </row>
    <row r="634" ht="12.75" customFormat="1" customHeight="1" s="76">
      <c r="A634" s="2" t="n"/>
      <c r="B634" s="2" t="n"/>
      <c r="C634" s="2" t="n"/>
      <c r="D634" s="2" t="n"/>
    </row>
    <row r="635" ht="12.75" customFormat="1" customHeight="1" s="76">
      <c r="A635" s="2" t="n"/>
      <c r="B635" s="2" t="n"/>
      <c r="C635" s="2" t="n"/>
      <c r="D635" s="2" t="n"/>
    </row>
    <row r="636" ht="12.75" customFormat="1" customHeight="1" s="76">
      <c r="A636" s="2" t="n"/>
      <c r="B636" s="2" t="n"/>
      <c r="C636" s="2" t="n"/>
      <c r="D636" s="2" t="n"/>
    </row>
    <row r="637" ht="12.75" customFormat="1" customHeight="1" s="76">
      <c r="A637" s="2" t="n"/>
      <c r="B637" s="2" t="n"/>
      <c r="C637" s="2" t="n"/>
      <c r="D637" s="2" t="n"/>
    </row>
    <row r="638" ht="12.75" customFormat="1" customHeight="1" s="76">
      <c r="A638" s="2" t="n"/>
      <c r="B638" s="2" t="n"/>
      <c r="C638" s="2" t="n"/>
      <c r="D638" s="2" t="n"/>
    </row>
    <row r="639" ht="12.75" customFormat="1" customHeight="1" s="76">
      <c r="A639" s="2" t="n"/>
      <c r="B639" s="2" t="n"/>
      <c r="C639" s="2" t="n"/>
      <c r="D639" s="2" t="n"/>
    </row>
    <row r="640" ht="12.75" customFormat="1" customHeight="1" s="76">
      <c r="A640" s="2" t="n"/>
      <c r="B640" s="2" t="n"/>
      <c r="C640" s="2" t="n"/>
      <c r="D640" s="2" t="n"/>
    </row>
    <row r="641" ht="12.75" customFormat="1" customHeight="1" s="76">
      <c r="A641" s="2" t="n"/>
      <c r="B641" s="2" t="n"/>
      <c r="C641" s="2" t="n"/>
      <c r="D641" s="2" t="n"/>
    </row>
    <row r="642" ht="12.75" customFormat="1" customHeight="1" s="76">
      <c r="A642" s="2" t="n"/>
      <c r="B642" s="2" t="n"/>
      <c r="C642" s="2" t="n"/>
      <c r="D642" s="2" t="n"/>
    </row>
    <row r="643" ht="12.75" customFormat="1" customHeight="1" s="76">
      <c r="A643" s="2" t="n"/>
      <c r="B643" s="2" t="n"/>
      <c r="C643" s="2" t="n"/>
      <c r="D643" s="2" t="n"/>
    </row>
    <row r="644" ht="12.75" customFormat="1" customHeight="1" s="76">
      <c r="A644" s="2" t="n"/>
      <c r="B644" s="2" t="n"/>
      <c r="C644" s="2" t="n"/>
      <c r="D644" s="2" t="n"/>
    </row>
    <row r="645" ht="12.75" customFormat="1" customHeight="1" s="76">
      <c r="A645" s="2" t="n"/>
      <c r="B645" s="2" t="n"/>
      <c r="C645" s="2" t="n"/>
      <c r="D645" s="2" t="n"/>
    </row>
    <row r="646" ht="12.75" customFormat="1" customHeight="1" s="76">
      <c r="A646" s="2" t="n"/>
      <c r="B646" s="2" t="n"/>
      <c r="C646" s="2" t="n"/>
      <c r="D646" s="2" t="n"/>
    </row>
    <row r="647" ht="12.75" customFormat="1" customHeight="1" s="76">
      <c r="A647" s="2" t="n"/>
      <c r="B647" s="2" t="n"/>
      <c r="C647" s="2" t="n"/>
      <c r="D647" s="2" t="n"/>
    </row>
    <row r="648" ht="12.75" customFormat="1" customHeight="1" s="76">
      <c r="A648" s="2" t="n"/>
      <c r="B648" s="2" t="n"/>
      <c r="C648" s="2" t="n"/>
      <c r="D648" s="2" t="n"/>
    </row>
    <row r="649" ht="12.75" customFormat="1" customHeight="1" s="76">
      <c r="A649" s="2" t="n"/>
      <c r="B649" s="2" t="n"/>
      <c r="C649" s="2" t="n"/>
      <c r="D649" s="2" t="n"/>
    </row>
    <row r="650" ht="12.75" customFormat="1" customHeight="1" s="76">
      <c r="A650" s="2" t="n"/>
      <c r="B650" s="2" t="n"/>
      <c r="C650" s="2" t="n"/>
      <c r="D650" s="2" t="n"/>
    </row>
    <row r="651" ht="12.75" customFormat="1" customHeight="1" s="76">
      <c r="A651" s="2" t="n"/>
      <c r="B651" s="2" t="n"/>
      <c r="C651" s="2" t="n"/>
      <c r="D651" s="2" t="n"/>
    </row>
    <row r="652" ht="12.75" customFormat="1" customHeight="1" s="76">
      <c r="A652" s="2" t="n"/>
      <c r="B652" s="2" t="n"/>
      <c r="C652" s="2" t="n"/>
      <c r="D652" s="2" t="n"/>
    </row>
    <row r="653" ht="12.75" customFormat="1" customHeight="1" s="76">
      <c r="A653" s="2" t="n"/>
      <c r="B653" s="2" t="n"/>
      <c r="C653" s="2" t="n"/>
      <c r="D653" s="2" t="n"/>
    </row>
    <row r="654" ht="12.75" customFormat="1" customHeight="1" s="76">
      <c r="A654" s="2" t="n"/>
      <c r="B654" s="2" t="n"/>
      <c r="C654" s="2" t="n"/>
      <c r="D654" s="2" t="n"/>
    </row>
    <row r="655" ht="12.75" customFormat="1" customHeight="1" s="76">
      <c r="A655" s="2" t="n"/>
      <c r="B655" s="2" t="n"/>
      <c r="C655" s="2" t="n"/>
      <c r="D655" s="2" t="n"/>
    </row>
    <row r="656" ht="12.75" customFormat="1" customHeight="1" s="76">
      <c r="A656" s="2" t="n"/>
      <c r="B656" s="2" t="n"/>
      <c r="C656" s="2" t="n"/>
      <c r="D656" s="2" t="n"/>
    </row>
    <row r="657" ht="12.75" customFormat="1" customHeight="1" s="76">
      <c r="A657" s="2" t="n"/>
      <c r="B657" s="2" t="n"/>
      <c r="C657" s="2" t="n"/>
      <c r="D657" s="2" t="n"/>
    </row>
    <row r="658" ht="12.75" customFormat="1" customHeight="1" s="76">
      <c r="A658" s="2" t="n"/>
      <c r="B658" s="2" t="n"/>
      <c r="C658" s="2" t="n"/>
      <c r="D658" s="2" t="n"/>
    </row>
    <row r="659" ht="12.75" customFormat="1" customHeight="1" s="76">
      <c r="A659" s="2" t="n"/>
      <c r="B659" s="2" t="n"/>
      <c r="C659" s="2" t="n"/>
      <c r="D659" s="2" t="n"/>
    </row>
    <row r="660" ht="12.75" customFormat="1" customHeight="1" s="76">
      <c r="A660" s="2" t="n"/>
      <c r="B660" s="2" t="n"/>
      <c r="C660" s="2" t="n"/>
      <c r="D660" s="2" t="n"/>
    </row>
    <row r="661" ht="12.75" customFormat="1" customHeight="1" s="76">
      <c r="A661" s="2" t="n"/>
      <c r="B661" s="2" t="n"/>
      <c r="C661" s="2" t="n"/>
      <c r="D661" s="2" t="n"/>
    </row>
    <row r="662" ht="12.75" customFormat="1" customHeight="1" s="76">
      <c r="A662" s="2" t="n"/>
      <c r="B662" s="2" t="n"/>
      <c r="C662" s="2" t="n"/>
      <c r="D662" s="2" t="n"/>
    </row>
    <row r="663" ht="12.75" customFormat="1" customHeight="1" s="76">
      <c r="A663" s="2" t="n"/>
      <c r="B663" s="2" t="n"/>
      <c r="C663" s="2" t="n"/>
      <c r="D663" s="2" t="n"/>
    </row>
    <row r="664" ht="12.75" customFormat="1" customHeight="1" s="76">
      <c r="A664" s="2" t="n"/>
      <c r="B664" s="2" t="n"/>
      <c r="C664" s="2" t="n"/>
      <c r="D664" s="2" t="n"/>
    </row>
    <row r="665" ht="12.75" customFormat="1" customHeight="1" s="76">
      <c r="A665" s="2" t="n"/>
      <c r="B665" s="2" t="n"/>
      <c r="C665" s="2" t="n"/>
      <c r="D665" s="2" t="n"/>
    </row>
    <row r="666" ht="12.75" customFormat="1" customHeight="1" s="76">
      <c r="A666" s="2" t="n"/>
      <c r="B666" s="2" t="n"/>
      <c r="C666" s="2" t="n"/>
      <c r="D666" s="2" t="n"/>
    </row>
    <row r="667" ht="12.75" customFormat="1" customHeight="1" s="76">
      <c r="A667" s="2" t="n"/>
      <c r="B667" s="2" t="n"/>
      <c r="C667" s="2" t="n"/>
      <c r="D667" s="2" t="n"/>
    </row>
    <row r="668" ht="12.75" customFormat="1" customHeight="1" s="76">
      <c r="A668" s="2" t="n"/>
      <c r="B668" s="2" t="n"/>
      <c r="C668" s="2" t="n"/>
      <c r="D668" s="2" t="n"/>
    </row>
    <row r="669" ht="12.75" customFormat="1" customHeight="1" s="76">
      <c r="A669" s="2" t="n"/>
      <c r="B669" s="2" t="n"/>
      <c r="C669" s="2" t="n"/>
      <c r="D669" s="2" t="n"/>
    </row>
    <row r="670" ht="12.75" customFormat="1" customHeight="1" s="76">
      <c r="A670" s="2" t="n"/>
      <c r="B670" s="2" t="n"/>
      <c r="C670" s="2" t="n"/>
      <c r="D670" s="2" t="n"/>
    </row>
    <row r="671" ht="12.75" customFormat="1" customHeight="1" s="76">
      <c r="A671" s="2" t="n"/>
      <c r="B671" s="2" t="n"/>
      <c r="C671" s="2" t="n"/>
      <c r="D671" s="2" t="n"/>
    </row>
    <row r="672" ht="12.75" customFormat="1" customHeight="1" s="76">
      <c r="A672" s="2" t="n"/>
      <c r="B672" s="2" t="n"/>
      <c r="C672" s="2" t="n"/>
      <c r="D672" s="2" t="n"/>
    </row>
    <row r="673" ht="12.75" customFormat="1" customHeight="1" s="76">
      <c r="A673" s="2" t="n"/>
      <c r="B673" s="2" t="n"/>
      <c r="C673" s="2" t="n"/>
      <c r="D673" s="2" t="n"/>
    </row>
    <row r="674" ht="12.75" customFormat="1" customHeight="1" s="76">
      <c r="A674" s="2" t="n"/>
      <c r="B674" s="2" t="n"/>
      <c r="C674" s="2" t="n"/>
      <c r="D674" s="2" t="n"/>
    </row>
    <row r="675" ht="12.75" customFormat="1" customHeight="1" s="76">
      <c r="A675" s="2" t="n"/>
      <c r="B675" s="2" t="n"/>
      <c r="C675" s="2" t="n"/>
      <c r="D675" s="2" t="n"/>
    </row>
    <row r="676" ht="12.75" customFormat="1" customHeight="1" s="76">
      <c r="A676" s="2" t="n"/>
      <c r="B676" s="2" t="n"/>
      <c r="C676" s="2" t="n"/>
      <c r="D676" s="2" t="n"/>
    </row>
    <row r="677" ht="12.75" customFormat="1" customHeight="1" s="76">
      <c r="A677" s="2" t="n"/>
      <c r="B677" s="2" t="n"/>
      <c r="C677" s="2" t="n"/>
      <c r="D677" s="2" t="n"/>
    </row>
    <row r="678" ht="12.75" customFormat="1" customHeight="1" s="76">
      <c r="A678" s="2" t="n"/>
      <c r="B678" s="2" t="n"/>
      <c r="C678" s="2" t="n"/>
      <c r="D678" s="2" t="n"/>
    </row>
    <row r="679" ht="12.75" customFormat="1" customHeight="1" s="76">
      <c r="A679" s="2" t="n"/>
      <c r="B679" s="2" t="n"/>
      <c r="C679" s="2" t="n"/>
      <c r="D679" s="2" t="n"/>
    </row>
    <row r="680" ht="12.75" customFormat="1" customHeight="1" s="76">
      <c r="A680" s="2" t="n"/>
      <c r="B680" s="2" t="n"/>
      <c r="C680" s="2" t="n"/>
      <c r="D680" s="2" t="n"/>
    </row>
    <row r="681" ht="12.75" customFormat="1" customHeight="1" s="76">
      <c r="A681" s="2" t="n"/>
      <c r="B681" s="2" t="n"/>
      <c r="C681" s="2" t="n"/>
      <c r="D681" s="2" t="n"/>
    </row>
    <row r="682" ht="12.75" customFormat="1" customHeight="1" s="76">
      <c r="A682" s="2" t="n"/>
      <c r="B682" s="2" t="n"/>
      <c r="C682" s="2" t="n"/>
      <c r="D682" s="2" t="n"/>
    </row>
    <row r="683" ht="12.75" customFormat="1" customHeight="1" s="76">
      <c r="A683" s="2" t="n"/>
      <c r="B683" s="2" t="n"/>
      <c r="C683" s="2" t="n"/>
      <c r="D683" s="2" t="n"/>
    </row>
    <row r="684" ht="12.75" customFormat="1" customHeight="1" s="76">
      <c r="A684" s="2" t="n"/>
      <c r="B684" s="2" t="n"/>
      <c r="C684" s="2" t="n"/>
      <c r="D684" s="2" t="n"/>
    </row>
    <row r="685" ht="12.75" customFormat="1" customHeight="1" s="76">
      <c r="A685" s="2" t="n"/>
      <c r="B685" s="2" t="n"/>
      <c r="C685" s="2" t="n"/>
      <c r="D685" s="2" t="n"/>
    </row>
    <row r="686" ht="12.75" customFormat="1" customHeight="1" s="76">
      <c r="A686" s="2" t="n"/>
      <c r="B686" s="2" t="n"/>
      <c r="C686" s="2" t="n"/>
      <c r="D686" s="2" t="n"/>
    </row>
    <row r="687" ht="12.75" customFormat="1" customHeight="1" s="76">
      <c r="A687" s="2" t="n"/>
      <c r="B687" s="2" t="n"/>
      <c r="C687" s="2" t="n"/>
      <c r="D687" s="2" t="n"/>
    </row>
    <row r="688" ht="12.75" customFormat="1" customHeight="1" s="76">
      <c r="A688" s="2" t="n"/>
      <c r="B688" s="2" t="n"/>
      <c r="C688" s="2" t="n"/>
      <c r="D688" s="2" t="n"/>
    </row>
    <row r="689" ht="12.75" customFormat="1" customHeight="1" s="76">
      <c r="A689" s="2" t="n"/>
      <c r="B689" s="2" t="n"/>
      <c r="C689" s="2" t="n"/>
      <c r="D689" s="2" t="n"/>
    </row>
    <row r="690" ht="12.75" customFormat="1" customHeight="1" s="76">
      <c r="A690" s="2" t="n"/>
      <c r="B690" s="2" t="n"/>
      <c r="C690" s="2" t="n"/>
      <c r="D690" s="2" t="n"/>
    </row>
    <row r="691" ht="12.75" customFormat="1" customHeight="1" s="76">
      <c r="A691" s="2" t="n"/>
      <c r="B691" s="2" t="n"/>
      <c r="C691" s="2" t="n"/>
      <c r="D691" s="2" t="n"/>
    </row>
    <row r="692" ht="12.75" customFormat="1" customHeight="1" s="76">
      <c r="A692" s="2" t="n"/>
      <c r="B692" s="2" t="n"/>
      <c r="C692" s="2" t="n"/>
      <c r="D692" s="2" t="n"/>
    </row>
    <row r="693" ht="12.75" customFormat="1" customHeight="1" s="76">
      <c r="A693" s="2" t="n"/>
      <c r="B693" s="2" t="n"/>
      <c r="C693" s="2" t="n"/>
      <c r="D693" s="2" t="n"/>
    </row>
    <row r="694" ht="12.75" customFormat="1" customHeight="1" s="76">
      <c r="A694" s="2" t="n"/>
      <c r="B694" s="2" t="n"/>
      <c r="C694" s="2" t="n"/>
      <c r="D694" s="2" t="n"/>
    </row>
    <row r="695" ht="12.75" customFormat="1" customHeight="1" s="76">
      <c r="A695" s="2" t="n"/>
      <c r="B695" s="2" t="n"/>
      <c r="C695" s="2" t="n"/>
      <c r="D695" s="2" t="n"/>
    </row>
    <row r="696" ht="12.75" customFormat="1" customHeight="1" s="76">
      <c r="A696" s="2" t="n"/>
      <c r="B696" s="2" t="n"/>
      <c r="C696" s="2" t="n"/>
      <c r="D696" s="2" t="n"/>
    </row>
    <row r="697" ht="12.75" customFormat="1" customHeight="1" s="76">
      <c r="A697" s="2" t="n"/>
      <c r="B697" s="2" t="n"/>
      <c r="C697" s="2" t="n"/>
      <c r="D697" s="2" t="n"/>
    </row>
    <row r="698" ht="12.75" customFormat="1" customHeight="1" s="76">
      <c r="A698" s="2" t="n"/>
      <c r="B698" s="2" t="n"/>
      <c r="C698" s="2" t="n"/>
      <c r="D698" s="2" t="n"/>
    </row>
    <row r="699" ht="12.75" customFormat="1" customHeight="1" s="76">
      <c r="A699" s="2" t="n"/>
      <c r="B699" s="2" t="n"/>
      <c r="C699" s="2" t="n"/>
      <c r="D699" s="2" t="n"/>
    </row>
    <row r="700" ht="12.75" customFormat="1" customHeight="1" s="76">
      <c r="A700" s="2" t="n"/>
      <c r="B700" s="2" t="n"/>
      <c r="C700" s="2" t="n"/>
      <c r="D700" s="2" t="n"/>
    </row>
    <row r="701" ht="12.75" customFormat="1" customHeight="1" s="76">
      <c r="A701" s="2" t="n"/>
      <c r="B701" s="2" t="n"/>
      <c r="C701" s="2" t="n"/>
      <c r="D701" s="2" t="n"/>
    </row>
    <row r="702" ht="12.75" customFormat="1" customHeight="1" s="76">
      <c r="A702" s="2" t="n"/>
      <c r="B702" s="2" t="n"/>
      <c r="C702" s="2" t="n"/>
      <c r="D702" s="2" t="n"/>
    </row>
    <row r="703" ht="12.75" customFormat="1" customHeight="1" s="76">
      <c r="A703" s="2" t="n"/>
      <c r="B703" s="2" t="n"/>
      <c r="C703" s="2" t="n"/>
      <c r="D703" s="2" t="n"/>
    </row>
    <row r="704" ht="12.75" customFormat="1" customHeight="1" s="76">
      <c r="A704" s="2" t="n"/>
      <c r="B704" s="2" t="n"/>
      <c r="C704" s="2" t="n"/>
      <c r="D704" s="2" t="n"/>
    </row>
    <row r="705" ht="12.75" customFormat="1" customHeight="1" s="76">
      <c r="A705" s="2" t="n"/>
      <c r="B705" s="2" t="n"/>
      <c r="C705" s="2" t="n"/>
      <c r="D705" s="2" t="n"/>
    </row>
    <row r="706" ht="12.75" customFormat="1" customHeight="1" s="76">
      <c r="A706" s="2" t="n"/>
      <c r="B706" s="2" t="n"/>
      <c r="C706" s="2" t="n"/>
      <c r="D706" s="2" t="n"/>
    </row>
    <row r="707" ht="12.75" customFormat="1" customHeight="1" s="76">
      <c r="A707" s="2" t="n"/>
      <c r="B707" s="2" t="n"/>
      <c r="C707" s="2" t="n"/>
      <c r="D707" s="2" t="n"/>
    </row>
    <row r="708" ht="12.75" customFormat="1" customHeight="1" s="76">
      <c r="A708" s="2" t="n"/>
      <c r="B708" s="2" t="n"/>
      <c r="C708" s="2" t="n"/>
      <c r="D708" s="2" t="n"/>
    </row>
    <row r="709" ht="12.75" customFormat="1" customHeight="1" s="76">
      <c r="A709" s="2" t="n"/>
      <c r="B709" s="2" t="n"/>
      <c r="C709" s="2" t="n"/>
      <c r="D709" s="2" t="n"/>
    </row>
    <row r="710" ht="12.75" customFormat="1" customHeight="1" s="76">
      <c r="A710" s="2" t="n"/>
      <c r="B710" s="2" t="n"/>
      <c r="C710" s="2" t="n"/>
      <c r="D710" s="2" t="n"/>
    </row>
    <row r="711" ht="12.75" customFormat="1" customHeight="1" s="76">
      <c r="A711" s="2" t="n"/>
      <c r="B711" s="2" t="n"/>
      <c r="C711" s="2" t="n"/>
      <c r="D711" s="2" t="n"/>
    </row>
    <row r="712" ht="12.75" customFormat="1" customHeight="1" s="76">
      <c r="A712" s="2" t="n"/>
      <c r="B712" s="2" t="n"/>
      <c r="C712" s="2" t="n"/>
      <c r="D712" s="2" t="n"/>
    </row>
    <row r="713" ht="12.75" customFormat="1" customHeight="1" s="76">
      <c r="A713" s="2" t="n"/>
      <c r="B713" s="2" t="n"/>
      <c r="C713" s="2" t="n"/>
      <c r="D713" s="2" t="n"/>
    </row>
    <row r="714" ht="12.75" customFormat="1" customHeight="1" s="76">
      <c r="A714" s="2" t="n"/>
      <c r="B714" s="2" t="n"/>
      <c r="C714" s="2" t="n"/>
      <c r="D714" s="2" t="n"/>
    </row>
    <row r="715" ht="12.75" customFormat="1" customHeight="1" s="76">
      <c r="A715" s="2" t="n"/>
      <c r="B715" s="2" t="n"/>
      <c r="C715" s="2" t="n"/>
      <c r="D715" s="2" t="n"/>
    </row>
    <row r="716" ht="12.75" customFormat="1" customHeight="1" s="76">
      <c r="A716" s="2" t="n"/>
      <c r="B716" s="2" t="n"/>
      <c r="C716" s="2" t="n"/>
      <c r="D716" s="2" t="n"/>
    </row>
    <row r="717" ht="12.75" customFormat="1" customHeight="1" s="76">
      <c r="A717" s="2" t="n"/>
      <c r="B717" s="2" t="n"/>
      <c r="C717" s="2" t="n"/>
      <c r="D717" s="2" t="n"/>
    </row>
    <row r="718" ht="12.75" customFormat="1" customHeight="1" s="76">
      <c r="A718" s="2" t="n"/>
      <c r="B718" s="2" t="n"/>
      <c r="C718" s="2" t="n"/>
      <c r="D718" s="2" t="n"/>
    </row>
    <row r="719" ht="12.75" customFormat="1" customHeight="1" s="76">
      <c r="A719" s="2" t="n"/>
      <c r="B719" s="2" t="n"/>
      <c r="C719" s="2" t="n"/>
      <c r="D719" s="2" t="n"/>
    </row>
    <row r="720" ht="12.75" customFormat="1" customHeight="1" s="76">
      <c r="A720" s="2" t="n"/>
      <c r="B720" s="2" t="n"/>
      <c r="C720" s="2" t="n"/>
      <c r="D720" s="2" t="n"/>
    </row>
    <row r="721" ht="12.75" customFormat="1" customHeight="1" s="76">
      <c r="A721" s="2" t="n"/>
      <c r="B721" s="2" t="n"/>
      <c r="C721" s="2" t="n"/>
      <c r="D721" s="2" t="n"/>
    </row>
    <row r="722" ht="12.75" customFormat="1" customHeight="1" s="76">
      <c r="A722" s="2" t="n"/>
      <c r="B722" s="2" t="n"/>
      <c r="C722" s="2" t="n"/>
      <c r="D722" s="2" t="n"/>
    </row>
    <row r="723" ht="12.75" customFormat="1" customHeight="1" s="76">
      <c r="A723" s="2" t="n"/>
      <c r="B723" s="2" t="n"/>
      <c r="C723" s="2" t="n"/>
      <c r="D723" s="2" t="n"/>
    </row>
    <row r="724" ht="12.75" customFormat="1" customHeight="1" s="76">
      <c r="A724" s="2" t="n"/>
      <c r="B724" s="2" t="n"/>
      <c r="C724" s="2" t="n"/>
      <c r="D724" s="2" t="n"/>
    </row>
    <row r="725" ht="12.75" customFormat="1" customHeight="1" s="76">
      <c r="A725" s="2" t="n"/>
      <c r="B725" s="2" t="n"/>
      <c r="C725" s="2" t="n"/>
      <c r="D725" s="2" t="n"/>
    </row>
    <row r="726" ht="12.75" customFormat="1" customHeight="1" s="76">
      <c r="A726" s="2" t="n"/>
      <c r="B726" s="2" t="n"/>
      <c r="C726" s="2" t="n"/>
      <c r="D726" s="2" t="n"/>
    </row>
    <row r="727" ht="12.75" customFormat="1" customHeight="1" s="76">
      <c r="A727" s="2" t="n"/>
      <c r="B727" s="2" t="n"/>
      <c r="C727" s="2" t="n"/>
      <c r="D727" s="2" t="n"/>
    </row>
    <row r="728" ht="12.75" customFormat="1" customHeight="1" s="76">
      <c r="A728" s="2" t="n"/>
      <c r="B728" s="2" t="n"/>
      <c r="C728" s="2" t="n"/>
      <c r="D728" s="2" t="n"/>
    </row>
    <row r="729" ht="12.75" customFormat="1" customHeight="1" s="76">
      <c r="A729" s="2" t="n"/>
      <c r="B729" s="2" t="n"/>
      <c r="C729" s="2" t="n"/>
      <c r="D729" s="2" t="n"/>
    </row>
    <row r="730" ht="12.75" customFormat="1" customHeight="1" s="76">
      <c r="A730" s="2" t="n"/>
      <c r="B730" s="2" t="n"/>
      <c r="C730" s="2" t="n"/>
      <c r="D730" s="2" t="n"/>
    </row>
    <row r="731" ht="12.75" customFormat="1" customHeight="1" s="76">
      <c r="A731" s="2" t="n"/>
      <c r="B731" s="2" t="n"/>
      <c r="C731" s="2" t="n"/>
      <c r="D731" s="2" t="n"/>
    </row>
    <row r="732" ht="12.75" customFormat="1" customHeight="1" s="76">
      <c r="A732" s="2" t="n"/>
      <c r="B732" s="2" t="n"/>
      <c r="C732" s="2" t="n"/>
      <c r="D732" s="2" t="n"/>
    </row>
    <row r="733" ht="12.75" customFormat="1" customHeight="1" s="76">
      <c r="A733" s="2" t="n"/>
      <c r="B733" s="2" t="n"/>
      <c r="C733" s="2" t="n"/>
      <c r="D733" s="2" t="n"/>
    </row>
    <row r="734" ht="12.75" customFormat="1" customHeight="1" s="76">
      <c r="A734" s="2" t="n"/>
      <c r="B734" s="2" t="n"/>
      <c r="C734" s="2" t="n"/>
      <c r="D734" s="2" t="n"/>
    </row>
    <row r="735" ht="12.75" customFormat="1" customHeight="1" s="76">
      <c r="A735" s="2" t="n"/>
      <c r="B735" s="2" t="n"/>
      <c r="C735" s="2" t="n"/>
      <c r="D735" s="2" t="n"/>
    </row>
    <row r="736" ht="12.75" customFormat="1" customHeight="1" s="76">
      <c r="A736" s="2" t="n"/>
      <c r="B736" s="2" t="n"/>
      <c r="C736" s="2" t="n"/>
      <c r="D736" s="2" t="n"/>
    </row>
    <row r="737" ht="12.75" customFormat="1" customHeight="1" s="76">
      <c r="A737" s="2" t="n"/>
      <c r="B737" s="2" t="n"/>
      <c r="C737" s="2" t="n"/>
      <c r="D737" s="2" t="n"/>
    </row>
    <row r="738" ht="12.75" customFormat="1" customHeight="1" s="76">
      <c r="A738" s="2" t="n"/>
      <c r="B738" s="2" t="n"/>
      <c r="C738" s="2" t="n"/>
      <c r="D738" s="2" t="n"/>
    </row>
    <row r="739" ht="12.75" customFormat="1" customHeight="1" s="76">
      <c r="A739" s="2" t="n"/>
      <c r="B739" s="2" t="n"/>
      <c r="C739" s="2" t="n"/>
      <c r="D739" s="2" t="n"/>
    </row>
    <row r="740" ht="12.75" customFormat="1" customHeight="1" s="76">
      <c r="A740" s="2" t="n"/>
      <c r="B740" s="2" t="n"/>
      <c r="C740" s="2" t="n"/>
      <c r="D740" s="2" t="n"/>
    </row>
    <row r="741" ht="12.75" customFormat="1" customHeight="1" s="76">
      <c r="A741" s="2" t="n"/>
      <c r="B741" s="2" t="n"/>
      <c r="C741" s="2" t="n"/>
      <c r="D741" s="2" t="n"/>
    </row>
    <row r="742" ht="12.75" customFormat="1" customHeight="1" s="76">
      <c r="A742" s="2" t="n"/>
      <c r="B742" s="2" t="n"/>
      <c r="C742" s="2" t="n"/>
      <c r="D742" s="2" t="n"/>
    </row>
    <row r="743" ht="12.75" customFormat="1" customHeight="1" s="76">
      <c r="A743" s="2" t="n"/>
      <c r="B743" s="2" t="n"/>
      <c r="C743" s="2" t="n"/>
      <c r="D743" s="2" t="n"/>
    </row>
    <row r="744" ht="12.75" customFormat="1" customHeight="1" s="76">
      <c r="A744" s="2" t="n"/>
      <c r="B744" s="2" t="n"/>
      <c r="C744" s="2" t="n"/>
      <c r="D744" s="2" t="n"/>
    </row>
    <row r="745" ht="12.75" customFormat="1" customHeight="1" s="76">
      <c r="A745" s="2" t="n"/>
      <c r="B745" s="2" t="n"/>
      <c r="C745" s="2" t="n"/>
      <c r="D745" s="2" t="n"/>
    </row>
    <row r="746" ht="12.75" customFormat="1" customHeight="1" s="76">
      <c r="A746" s="2" t="n"/>
      <c r="B746" s="2" t="n"/>
      <c r="C746" s="2" t="n"/>
      <c r="D746" s="2" t="n"/>
    </row>
    <row r="747" ht="12.75" customFormat="1" customHeight="1" s="76">
      <c r="A747" s="2" t="n"/>
      <c r="B747" s="2" t="n"/>
      <c r="C747" s="2" t="n"/>
      <c r="D747" s="2" t="n"/>
    </row>
    <row r="748" ht="12.75" customFormat="1" customHeight="1" s="76">
      <c r="A748" s="2" t="n"/>
      <c r="B748" s="2" t="n"/>
      <c r="C748" s="2" t="n"/>
      <c r="D748" s="2" t="n"/>
    </row>
    <row r="749" ht="12.75" customFormat="1" customHeight="1" s="76">
      <c r="A749" s="2" t="n"/>
      <c r="B749" s="2" t="n"/>
      <c r="C749" s="2" t="n"/>
      <c r="D749" s="2" t="n"/>
    </row>
    <row r="750" ht="12.75" customFormat="1" customHeight="1" s="76">
      <c r="A750" s="2" t="n"/>
      <c r="B750" s="2" t="n"/>
      <c r="C750" s="2" t="n"/>
      <c r="D750" s="2" t="n"/>
    </row>
    <row r="751" ht="12.75" customFormat="1" customHeight="1" s="76">
      <c r="A751" s="2" t="n"/>
      <c r="B751" s="2" t="n"/>
      <c r="C751" s="2" t="n"/>
      <c r="D751" s="2" t="n"/>
    </row>
    <row r="752" ht="12.75" customFormat="1" customHeight="1" s="76">
      <c r="A752" s="2" t="n"/>
      <c r="B752" s="2" t="n"/>
      <c r="C752" s="2" t="n"/>
      <c r="D752" s="2" t="n"/>
    </row>
    <row r="753" ht="12.75" customFormat="1" customHeight="1" s="76">
      <c r="A753" s="2" t="n"/>
      <c r="B753" s="2" t="n"/>
      <c r="C753" s="2" t="n"/>
      <c r="D753" s="2" t="n"/>
    </row>
    <row r="754" ht="12.75" customFormat="1" customHeight="1" s="76">
      <c r="A754" s="2" t="n"/>
      <c r="B754" s="2" t="n"/>
      <c r="C754" s="2" t="n"/>
      <c r="D754" s="2" t="n"/>
    </row>
    <row r="755" ht="12.75" customFormat="1" customHeight="1" s="76">
      <c r="A755" s="2" t="n"/>
      <c r="B755" s="2" t="n"/>
      <c r="C755" s="2" t="n"/>
      <c r="D755" s="2" t="n"/>
    </row>
    <row r="756" ht="12.75" customFormat="1" customHeight="1" s="76">
      <c r="A756" s="2" t="n"/>
      <c r="B756" s="2" t="n"/>
      <c r="C756" s="2" t="n"/>
      <c r="D756" s="2" t="n"/>
    </row>
    <row r="757" ht="12.75" customFormat="1" customHeight="1" s="76">
      <c r="A757" s="2" t="n"/>
      <c r="B757" s="2" t="n"/>
      <c r="C757" s="2" t="n"/>
      <c r="D757" s="2" t="n"/>
    </row>
    <row r="758" ht="12.75" customFormat="1" customHeight="1" s="76">
      <c r="A758" s="2" t="n"/>
      <c r="B758" s="2" t="n"/>
      <c r="C758" s="2" t="n"/>
      <c r="D758" s="2" t="n"/>
    </row>
    <row r="759" ht="12.75" customFormat="1" customHeight="1" s="76">
      <c r="A759" s="2" t="n"/>
      <c r="B759" s="2" t="n"/>
      <c r="C759" s="2" t="n"/>
      <c r="D759" s="2" t="n"/>
    </row>
    <row r="760" ht="12.75" customFormat="1" customHeight="1" s="76">
      <c r="A760" s="2" t="n"/>
      <c r="B760" s="2" t="n"/>
      <c r="C760" s="2" t="n"/>
      <c r="D760" s="2" t="n"/>
    </row>
    <row r="761" ht="12.75" customFormat="1" customHeight="1" s="76">
      <c r="A761" s="2" t="n"/>
      <c r="B761" s="2" t="n"/>
      <c r="C761" s="2" t="n"/>
      <c r="D761" s="2" t="n"/>
    </row>
    <row r="762" ht="12.75" customFormat="1" customHeight="1" s="76">
      <c r="A762" s="2" t="n"/>
      <c r="B762" s="2" t="n"/>
      <c r="C762" s="2" t="n"/>
      <c r="D762" s="2" t="n"/>
    </row>
    <row r="763" ht="12.75" customFormat="1" customHeight="1" s="76">
      <c r="A763" s="2" t="n"/>
      <c r="B763" s="2" t="n"/>
      <c r="C763" s="2" t="n"/>
      <c r="D763" s="2" t="n"/>
    </row>
    <row r="764" ht="12.75" customFormat="1" customHeight="1" s="76">
      <c r="A764" s="2" t="n"/>
      <c r="B764" s="2" t="n"/>
      <c r="C764" s="2" t="n"/>
      <c r="D764" s="2" t="n"/>
    </row>
    <row r="765" ht="12.75" customFormat="1" customHeight="1" s="76">
      <c r="A765" s="2" t="n"/>
      <c r="B765" s="2" t="n"/>
      <c r="C765" s="2" t="n"/>
      <c r="D765" s="2" t="n"/>
    </row>
    <row r="766" ht="12.75" customFormat="1" customHeight="1" s="76">
      <c r="A766" s="2" t="n"/>
      <c r="B766" s="2" t="n"/>
      <c r="C766" s="2" t="n"/>
      <c r="D766" s="2" t="n"/>
    </row>
    <row r="767" ht="12.75" customFormat="1" customHeight="1" s="76">
      <c r="A767" s="2" t="n"/>
      <c r="B767" s="2" t="n"/>
      <c r="C767" s="2" t="n"/>
      <c r="D767" s="2" t="n"/>
    </row>
    <row r="768" ht="12.75" customFormat="1" customHeight="1" s="76">
      <c r="A768" s="2" t="n"/>
      <c r="B768" s="2" t="n"/>
      <c r="C768" s="2" t="n"/>
      <c r="D768" s="2" t="n"/>
    </row>
    <row r="769" ht="12.75" customFormat="1" customHeight="1" s="76">
      <c r="A769" s="2" t="n"/>
      <c r="B769" s="2" t="n"/>
      <c r="C769" s="2" t="n"/>
      <c r="D769" s="2" t="n"/>
    </row>
    <row r="770" ht="12.75" customFormat="1" customHeight="1" s="76">
      <c r="A770" s="2" t="n"/>
      <c r="B770" s="2" t="n"/>
      <c r="C770" s="2" t="n"/>
      <c r="D770" s="2" t="n"/>
    </row>
    <row r="771" ht="12.75" customFormat="1" customHeight="1" s="76">
      <c r="A771" s="2" t="n"/>
      <c r="B771" s="2" t="n"/>
      <c r="C771" s="2" t="n"/>
      <c r="D771" s="2" t="n"/>
    </row>
    <row r="772" ht="12.75" customFormat="1" customHeight="1" s="76">
      <c r="A772" s="2" t="n"/>
      <c r="B772" s="2" t="n"/>
      <c r="C772" s="2" t="n"/>
      <c r="D772" s="2" t="n"/>
    </row>
    <row r="773" ht="12.75" customFormat="1" customHeight="1" s="76">
      <c r="A773" s="2" t="n"/>
      <c r="B773" s="2" t="n"/>
      <c r="C773" s="2" t="n"/>
      <c r="D773" s="2" t="n"/>
    </row>
    <row r="774" ht="12.75" customFormat="1" customHeight="1" s="76">
      <c r="A774" s="2" t="n"/>
      <c r="B774" s="2" t="n"/>
      <c r="C774" s="2" t="n"/>
      <c r="D774" s="2" t="n"/>
    </row>
    <row r="775" ht="12.75" customFormat="1" customHeight="1" s="76">
      <c r="A775" s="2" t="n"/>
      <c r="B775" s="2" t="n"/>
      <c r="C775" s="2" t="n"/>
      <c r="D775" s="2" t="n"/>
    </row>
    <row r="776" ht="12.75" customFormat="1" customHeight="1" s="76">
      <c r="A776" s="2" t="n"/>
      <c r="B776" s="2" t="n"/>
      <c r="C776" s="2" t="n"/>
      <c r="D776" s="2" t="n"/>
    </row>
    <row r="777" ht="12.75" customFormat="1" customHeight="1" s="76">
      <c r="A777" s="2" t="n"/>
      <c r="B777" s="2" t="n"/>
      <c r="C777" s="2" t="n"/>
      <c r="D777" s="2" t="n"/>
    </row>
    <row r="778" ht="12.75" customFormat="1" customHeight="1" s="76">
      <c r="A778" s="2" t="n"/>
      <c r="B778" s="2" t="n"/>
      <c r="C778" s="2" t="n"/>
      <c r="D778" s="2" t="n"/>
    </row>
    <row r="779" ht="12.75" customFormat="1" customHeight="1" s="76">
      <c r="A779" s="2" t="n"/>
      <c r="B779" s="2" t="n"/>
      <c r="C779" s="2" t="n"/>
      <c r="D779" s="2" t="n"/>
    </row>
    <row r="780" ht="12.75" customFormat="1" customHeight="1" s="76">
      <c r="A780" s="2" t="n"/>
      <c r="B780" s="2" t="n"/>
      <c r="C780" s="2" t="n"/>
      <c r="D780" s="2" t="n"/>
    </row>
    <row r="781" ht="12.75" customFormat="1" customHeight="1" s="76">
      <c r="A781" s="2" t="n"/>
      <c r="B781" s="2" t="n"/>
      <c r="C781" s="2" t="n"/>
      <c r="D781" s="2" t="n"/>
    </row>
    <row r="782" ht="12.75" customFormat="1" customHeight="1" s="76">
      <c r="A782" s="2" t="n"/>
      <c r="B782" s="2" t="n"/>
      <c r="C782" s="2" t="n"/>
      <c r="D782" s="2" t="n"/>
    </row>
    <row r="783" ht="12.75" customFormat="1" customHeight="1" s="76">
      <c r="A783" s="2" t="n"/>
      <c r="B783" s="2" t="n"/>
      <c r="C783" s="2" t="n"/>
      <c r="D783" s="2" t="n"/>
    </row>
    <row r="784" ht="12.75" customFormat="1" customHeight="1" s="76">
      <c r="A784" s="2" t="n"/>
      <c r="B784" s="2" t="n"/>
      <c r="C784" s="2" t="n"/>
      <c r="D784" s="2" t="n"/>
    </row>
    <row r="785" ht="12.75" customFormat="1" customHeight="1" s="76">
      <c r="A785" s="2" t="n"/>
      <c r="B785" s="2" t="n"/>
      <c r="C785" s="2" t="n"/>
      <c r="D785" s="2" t="n"/>
    </row>
    <row r="786" ht="12.75" customFormat="1" customHeight="1" s="76">
      <c r="A786" s="2" t="n"/>
      <c r="B786" s="2" t="n"/>
      <c r="C786" s="2" t="n"/>
      <c r="D786" s="2" t="n"/>
    </row>
    <row r="787" ht="12.75" customFormat="1" customHeight="1" s="76">
      <c r="A787" s="2" t="n"/>
      <c r="B787" s="2" t="n"/>
      <c r="C787" s="2" t="n"/>
      <c r="D787" s="2" t="n"/>
    </row>
    <row r="788" ht="12.75" customFormat="1" customHeight="1" s="76">
      <c r="A788" s="2" t="n"/>
      <c r="B788" s="2" t="n"/>
      <c r="C788" s="2" t="n"/>
      <c r="D788" s="2" t="n"/>
    </row>
    <row r="789" ht="12.75" customFormat="1" customHeight="1" s="76">
      <c r="A789" s="2" t="n"/>
      <c r="B789" s="2" t="n"/>
      <c r="C789" s="2" t="n"/>
      <c r="D789" s="2" t="n"/>
    </row>
    <row r="790" ht="12.75" customFormat="1" customHeight="1" s="76">
      <c r="A790" s="2" t="n"/>
      <c r="B790" s="2" t="n"/>
      <c r="C790" s="2" t="n"/>
      <c r="D790" s="2" t="n"/>
    </row>
    <row r="791" ht="12.75" customFormat="1" customHeight="1" s="76">
      <c r="A791" s="2" t="n"/>
      <c r="B791" s="2" t="n"/>
      <c r="C791" s="2" t="n"/>
      <c r="D791" s="2" t="n"/>
    </row>
    <row r="792" ht="12.75" customFormat="1" customHeight="1" s="76">
      <c r="A792" s="2" t="n"/>
      <c r="B792" s="2" t="n"/>
      <c r="C792" s="2" t="n"/>
      <c r="D792" s="2" t="n"/>
    </row>
    <row r="793" ht="12.75" customFormat="1" customHeight="1" s="76">
      <c r="A793" s="2" t="n"/>
      <c r="B793" s="2" t="n"/>
      <c r="C793" s="2" t="n"/>
      <c r="D793" s="2" t="n"/>
    </row>
    <row r="794" ht="12.75" customFormat="1" customHeight="1" s="76">
      <c r="A794" s="2" t="n"/>
      <c r="B794" s="2" t="n"/>
      <c r="C794" s="2" t="n"/>
      <c r="D794" s="2" t="n"/>
    </row>
    <row r="795" ht="12.75" customFormat="1" customHeight="1" s="76">
      <c r="A795" s="2" t="n"/>
      <c r="B795" s="2" t="n"/>
      <c r="C795" s="2" t="n"/>
      <c r="D795" s="2" t="n"/>
    </row>
    <row r="796" ht="12.75" customFormat="1" customHeight="1" s="76">
      <c r="A796" s="2" t="n"/>
      <c r="B796" s="2" t="n"/>
      <c r="C796" s="2" t="n"/>
      <c r="D796" s="2" t="n"/>
    </row>
    <row r="797" ht="12.75" customFormat="1" customHeight="1" s="76">
      <c r="A797" s="2" t="n"/>
      <c r="B797" s="2" t="n"/>
      <c r="C797" s="2" t="n"/>
      <c r="D797" s="2" t="n"/>
    </row>
    <row r="798" ht="12.75" customFormat="1" customHeight="1" s="76">
      <c r="A798" s="2" t="n"/>
      <c r="B798" s="2" t="n"/>
      <c r="C798" s="2" t="n"/>
      <c r="D798" s="2" t="n"/>
    </row>
    <row r="799" ht="12.75" customFormat="1" customHeight="1" s="76">
      <c r="A799" s="2" t="n"/>
      <c r="B799" s="2" t="n"/>
      <c r="C799" s="2" t="n"/>
      <c r="D799" s="2" t="n"/>
    </row>
    <row r="800" ht="12.75" customFormat="1" customHeight="1" s="76">
      <c r="A800" s="2" t="n"/>
      <c r="B800" s="2" t="n"/>
      <c r="C800" s="2" t="n"/>
      <c r="D800" s="2" t="n"/>
    </row>
    <row r="801" ht="12.75" customFormat="1" customHeight="1" s="76">
      <c r="A801" s="2" t="n"/>
      <c r="B801" s="2" t="n"/>
      <c r="C801" s="2" t="n"/>
      <c r="D801" s="2" t="n"/>
    </row>
    <row r="802" ht="12.75" customFormat="1" customHeight="1" s="76">
      <c r="A802" s="2" t="n"/>
      <c r="B802" s="2" t="n"/>
      <c r="C802" s="2" t="n"/>
      <c r="D802" s="2" t="n"/>
    </row>
    <row r="803" ht="12.75" customFormat="1" customHeight="1" s="76">
      <c r="A803" s="2" t="n"/>
      <c r="B803" s="2" t="n"/>
      <c r="C803" s="2" t="n"/>
      <c r="D803" s="2" t="n"/>
    </row>
    <row r="804" ht="12.75" customFormat="1" customHeight="1" s="76">
      <c r="A804" s="2" t="n"/>
      <c r="B804" s="2" t="n"/>
      <c r="C804" s="2" t="n"/>
      <c r="D804" s="2" t="n"/>
    </row>
    <row r="805" ht="12.75" customFormat="1" customHeight="1" s="76">
      <c r="A805" s="2" t="n"/>
      <c r="B805" s="2" t="n"/>
      <c r="C805" s="2" t="n"/>
      <c r="D805" s="2" t="n"/>
    </row>
    <row r="806" ht="12.75" customFormat="1" customHeight="1" s="76">
      <c r="A806" s="2" t="n"/>
      <c r="B806" s="2" t="n"/>
      <c r="C806" s="2" t="n"/>
      <c r="D806" s="2" t="n"/>
    </row>
    <row r="807" ht="12.75" customFormat="1" customHeight="1" s="76">
      <c r="A807" s="2" t="n"/>
      <c r="B807" s="2" t="n"/>
      <c r="C807" s="2" t="n"/>
      <c r="D807" s="2" t="n"/>
    </row>
    <row r="808" ht="12.75" customFormat="1" customHeight="1" s="76">
      <c r="A808" s="2" t="n"/>
      <c r="B808" s="2" t="n"/>
      <c r="C808" s="2" t="n"/>
      <c r="D808" s="2" t="n"/>
    </row>
    <row r="809" ht="12.75" customFormat="1" customHeight="1" s="76">
      <c r="A809" s="2" t="n"/>
      <c r="B809" s="2" t="n"/>
      <c r="C809" s="2" t="n"/>
      <c r="D809" s="2" t="n"/>
    </row>
    <row r="810" ht="12.75" customFormat="1" customHeight="1" s="76">
      <c r="A810" s="2" t="n"/>
      <c r="B810" s="2" t="n"/>
      <c r="C810" s="2" t="n"/>
      <c r="D810" s="2" t="n"/>
    </row>
    <row r="811" ht="12.75" customFormat="1" customHeight="1" s="76">
      <c r="A811" s="2" t="n"/>
      <c r="B811" s="2" t="n"/>
      <c r="C811" s="2" t="n"/>
      <c r="D811" s="2" t="n"/>
    </row>
    <row r="812" ht="12.75" customFormat="1" customHeight="1" s="76">
      <c r="A812" s="2" t="n"/>
      <c r="B812" s="2" t="n"/>
      <c r="C812" s="2" t="n"/>
      <c r="D812" s="2" t="n"/>
    </row>
    <row r="813" ht="12.75" customFormat="1" customHeight="1" s="76">
      <c r="A813" s="2" t="n"/>
      <c r="B813" s="2" t="n"/>
      <c r="C813" s="2" t="n"/>
      <c r="D813" s="2" t="n"/>
    </row>
    <row r="814" ht="12.75" customFormat="1" customHeight="1" s="76">
      <c r="A814" s="2" t="n"/>
      <c r="B814" s="2" t="n"/>
      <c r="C814" s="2" t="n"/>
      <c r="D814" s="2" t="n"/>
    </row>
    <row r="815" ht="12.75" customFormat="1" customHeight="1" s="76">
      <c r="A815" s="2" t="n"/>
      <c r="B815" s="2" t="n"/>
      <c r="C815" s="2" t="n"/>
      <c r="D815" s="2" t="n"/>
    </row>
    <row r="816" ht="12.75" customFormat="1" customHeight="1" s="76">
      <c r="A816" s="2" t="n"/>
      <c r="B816" s="2" t="n"/>
      <c r="C816" s="2" t="n"/>
      <c r="D816" s="2" t="n"/>
    </row>
    <row r="817" ht="12.75" customFormat="1" customHeight="1" s="76">
      <c r="A817" s="2" t="n"/>
      <c r="B817" s="2" t="n"/>
      <c r="C817" s="2" t="n"/>
      <c r="D817" s="2" t="n"/>
    </row>
    <row r="818" ht="12.75" customFormat="1" customHeight="1" s="76">
      <c r="A818" s="2" t="n"/>
      <c r="B818" s="2" t="n"/>
      <c r="C818" s="2" t="n"/>
      <c r="D818" s="2" t="n"/>
    </row>
    <row r="819" ht="12.75" customFormat="1" customHeight="1" s="76">
      <c r="A819" s="2" t="n"/>
      <c r="B819" s="2" t="n"/>
      <c r="C819" s="2" t="n"/>
      <c r="D819" s="2" t="n"/>
    </row>
    <row r="820" ht="12.75" customFormat="1" customHeight="1" s="76">
      <c r="A820" s="2" t="n"/>
      <c r="B820" s="2" t="n"/>
      <c r="C820" s="2" t="n"/>
      <c r="D820" s="2" t="n"/>
    </row>
    <row r="821" ht="12.75" customFormat="1" customHeight="1" s="76">
      <c r="A821" s="2" t="n"/>
      <c r="B821" s="2" t="n"/>
      <c r="C821" s="2" t="n"/>
      <c r="D821" s="2" t="n"/>
    </row>
    <row r="822" ht="12.75" customFormat="1" customHeight="1" s="76">
      <c r="A822" s="2" t="n"/>
      <c r="B822" s="2" t="n"/>
      <c r="C822" s="2" t="n"/>
      <c r="D822" s="2" t="n"/>
    </row>
    <row r="823" ht="12.75" customFormat="1" customHeight="1" s="76">
      <c r="A823" s="2" t="n"/>
      <c r="B823" s="2" t="n"/>
      <c r="C823" s="2" t="n"/>
      <c r="D823" s="2" t="n"/>
    </row>
    <row r="824" ht="12.75" customFormat="1" customHeight="1" s="76">
      <c r="A824" s="2" t="n"/>
      <c r="B824" s="2" t="n"/>
      <c r="C824" s="2" t="n"/>
      <c r="D824" s="2" t="n"/>
    </row>
    <row r="825" ht="12.75" customFormat="1" customHeight="1" s="76">
      <c r="A825" s="2" t="n"/>
      <c r="B825" s="2" t="n"/>
      <c r="C825" s="2" t="n"/>
      <c r="D825" s="2" t="n"/>
    </row>
    <row r="826" ht="12.75" customFormat="1" customHeight="1" s="76">
      <c r="A826" s="2" t="n"/>
      <c r="B826" s="2" t="n"/>
      <c r="C826" s="2" t="n"/>
      <c r="D826" s="2" t="n"/>
    </row>
    <row r="827" ht="12.75" customFormat="1" customHeight="1" s="76">
      <c r="A827" s="2" t="n"/>
      <c r="B827" s="2" t="n"/>
      <c r="C827" s="2" t="n"/>
      <c r="D827" s="2" t="n"/>
    </row>
    <row r="828" ht="12.75" customFormat="1" customHeight="1" s="76">
      <c r="A828" s="2" t="n"/>
      <c r="B828" s="2" t="n"/>
      <c r="C828" s="2" t="n"/>
      <c r="D828" s="2" t="n"/>
    </row>
    <row r="829" ht="12.75" customFormat="1" customHeight="1" s="76">
      <c r="A829" s="2" t="n"/>
      <c r="B829" s="2" t="n"/>
      <c r="C829" s="2" t="n"/>
      <c r="D829" s="2" t="n"/>
    </row>
    <row r="830" ht="12.75" customFormat="1" customHeight="1" s="76">
      <c r="A830" s="2" t="n"/>
      <c r="B830" s="2" t="n"/>
      <c r="C830" s="2" t="n"/>
      <c r="D830" s="2" t="n"/>
    </row>
    <row r="831" ht="12.75" customFormat="1" customHeight="1" s="76">
      <c r="A831" s="2" t="n"/>
      <c r="B831" s="2" t="n"/>
      <c r="C831" s="2" t="n"/>
      <c r="D831" s="2" t="n"/>
    </row>
    <row r="832" ht="12.75" customFormat="1" customHeight="1" s="76">
      <c r="A832" s="2" t="n"/>
      <c r="B832" s="2" t="n"/>
      <c r="C832" s="2" t="n"/>
      <c r="D832" s="2" t="n"/>
    </row>
    <row r="833" ht="12.75" customFormat="1" customHeight="1" s="76">
      <c r="A833" s="2" t="n"/>
      <c r="B833" s="2" t="n"/>
      <c r="C833" s="2" t="n"/>
      <c r="D833" s="2" t="n"/>
    </row>
    <row r="834" ht="12.75" customFormat="1" customHeight="1" s="76">
      <c r="A834" s="2" t="n"/>
      <c r="B834" s="2" t="n"/>
      <c r="C834" s="2" t="n"/>
      <c r="D834" s="2" t="n"/>
    </row>
    <row r="835" ht="12.75" customFormat="1" customHeight="1" s="76">
      <c r="A835" s="2" t="n"/>
      <c r="B835" s="2" t="n"/>
      <c r="C835" s="2" t="n"/>
      <c r="D835" s="2" t="n"/>
    </row>
    <row r="836" ht="12.75" customFormat="1" customHeight="1" s="76">
      <c r="A836" s="2" t="n"/>
      <c r="B836" s="2" t="n"/>
      <c r="C836" s="2" t="n"/>
      <c r="D836" s="2" t="n"/>
    </row>
    <row r="837" ht="12.75" customFormat="1" customHeight="1" s="76">
      <c r="A837" s="2" t="n"/>
      <c r="B837" s="2" t="n"/>
      <c r="C837" s="2" t="n"/>
      <c r="D837" s="2" t="n"/>
    </row>
    <row r="838" ht="12.75" customFormat="1" customHeight="1" s="76">
      <c r="A838" s="2" t="n"/>
      <c r="B838" s="2" t="n"/>
      <c r="C838" s="2" t="n"/>
      <c r="D838" s="2" t="n"/>
    </row>
    <row r="839" ht="12.75" customFormat="1" customHeight="1" s="76">
      <c r="A839" s="2" t="n"/>
      <c r="B839" s="2" t="n"/>
      <c r="C839" s="2" t="n"/>
      <c r="D839" s="2" t="n"/>
    </row>
    <row r="840" ht="12.75" customFormat="1" customHeight="1" s="76">
      <c r="A840" s="2" t="n"/>
      <c r="B840" s="2" t="n"/>
      <c r="C840" s="2" t="n"/>
      <c r="D840" s="2" t="n"/>
    </row>
    <row r="841" ht="12.75" customFormat="1" customHeight="1" s="76">
      <c r="A841" s="2" t="n"/>
      <c r="B841" s="2" t="n"/>
      <c r="C841" s="2" t="n"/>
      <c r="D841" s="2" t="n"/>
    </row>
    <row r="842" ht="12.75" customFormat="1" customHeight="1" s="76">
      <c r="A842" s="2" t="n"/>
      <c r="B842" s="2" t="n"/>
      <c r="C842" s="2" t="n"/>
      <c r="D842" s="2" t="n"/>
    </row>
    <row r="843" ht="12.75" customFormat="1" customHeight="1" s="76">
      <c r="A843" s="2" t="n"/>
      <c r="B843" s="2" t="n"/>
      <c r="C843" s="2" t="n"/>
      <c r="D843" s="2" t="n"/>
    </row>
    <row r="844" ht="12.75" customFormat="1" customHeight="1" s="76">
      <c r="A844" s="2" t="n"/>
      <c r="B844" s="2" t="n"/>
      <c r="C844" s="2" t="n"/>
      <c r="D844" s="2" t="n"/>
    </row>
    <row r="845" ht="12.75" customFormat="1" customHeight="1" s="76">
      <c r="A845" s="2" t="n"/>
      <c r="B845" s="2" t="n"/>
      <c r="C845" s="2" t="n"/>
      <c r="D845" s="2" t="n"/>
    </row>
    <row r="846" ht="12.75" customFormat="1" customHeight="1" s="76">
      <c r="A846" s="2" t="n"/>
      <c r="B846" s="2" t="n"/>
      <c r="C846" s="2" t="n"/>
      <c r="D846" s="2" t="n"/>
    </row>
    <row r="847" ht="12.75" customFormat="1" customHeight="1" s="76">
      <c r="A847" s="2" t="n"/>
      <c r="B847" s="2" t="n"/>
      <c r="C847" s="2" t="n"/>
      <c r="D847" s="2" t="n"/>
    </row>
    <row r="848" ht="12.75" customFormat="1" customHeight="1" s="76">
      <c r="A848" s="2" t="n"/>
      <c r="B848" s="2" t="n"/>
      <c r="C848" s="2" t="n"/>
      <c r="D848" s="2" t="n"/>
    </row>
    <row r="849" ht="12.75" customFormat="1" customHeight="1" s="76">
      <c r="A849" s="2" t="n"/>
      <c r="B849" s="2" t="n"/>
      <c r="C849" s="2" t="n"/>
      <c r="D849" s="2" t="n"/>
    </row>
    <row r="850" ht="12.75" customFormat="1" customHeight="1" s="76">
      <c r="A850" s="2" t="n"/>
      <c r="B850" s="2" t="n"/>
      <c r="C850" s="2" t="n"/>
      <c r="D850" s="2" t="n"/>
    </row>
    <row r="851" ht="12.75" customFormat="1" customHeight="1" s="76">
      <c r="A851" s="2" t="n"/>
      <c r="B851" s="2" t="n"/>
      <c r="C851" s="2" t="n"/>
      <c r="D851" s="2" t="n"/>
    </row>
    <row r="852" ht="12.75" customFormat="1" customHeight="1" s="76">
      <c r="A852" s="2" t="n"/>
      <c r="B852" s="2" t="n"/>
      <c r="C852" s="2" t="n"/>
      <c r="D852" s="2" t="n"/>
    </row>
    <row r="853" ht="12.75" customFormat="1" customHeight="1" s="76">
      <c r="A853" s="2" t="n"/>
      <c r="B853" s="2" t="n"/>
      <c r="C853" s="2" t="n"/>
      <c r="D853" s="2" t="n"/>
    </row>
    <row r="854" ht="12.75" customFormat="1" customHeight="1" s="76">
      <c r="A854" s="2" t="n"/>
      <c r="B854" s="2" t="n"/>
      <c r="C854" s="2" t="n"/>
      <c r="D854" s="2" t="n"/>
    </row>
    <row r="855" ht="12.75" customFormat="1" customHeight="1" s="76">
      <c r="A855" s="2" t="n"/>
      <c r="B855" s="2" t="n"/>
      <c r="C855" s="2" t="n"/>
      <c r="D855" s="2" t="n"/>
    </row>
    <row r="856" ht="12.75" customFormat="1" customHeight="1" s="76">
      <c r="A856" s="2" t="n"/>
      <c r="B856" s="2" t="n"/>
      <c r="C856" s="2" t="n"/>
      <c r="D856" s="2" t="n"/>
    </row>
    <row r="857" ht="12.75" customFormat="1" customHeight="1" s="76">
      <c r="A857" s="2" t="n"/>
      <c r="B857" s="2" t="n"/>
      <c r="C857" s="2" t="n"/>
      <c r="D857" s="2" t="n"/>
    </row>
    <row r="858" ht="12.75" customFormat="1" customHeight="1" s="76">
      <c r="A858" s="2" t="n"/>
      <c r="B858" s="2" t="n"/>
      <c r="C858" s="2" t="n"/>
      <c r="D858" s="2" t="n"/>
    </row>
    <row r="859" ht="12.75" customFormat="1" customHeight="1" s="76">
      <c r="A859" s="2" t="n"/>
      <c r="B859" s="2" t="n"/>
      <c r="C859" s="2" t="n"/>
      <c r="D859" s="2" t="n"/>
    </row>
    <row r="860" ht="12.75" customFormat="1" customHeight="1" s="76">
      <c r="A860" s="2" t="n"/>
      <c r="B860" s="2" t="n"/>
      <c r="C860" s="2" t="n"/>
      <c r="D860" s="2" t="n"/>
    </row>
    <row r="861" ht="12.75" customFormat="1" customHeight="1" s="76">
      <c r="A861" s="2" t="n"/>
      <c r="B861" s="2" t="n"/>
      <c r="C861" s="2" t="n"/>
      <c r="D861" s="2" t="n"/>
    </row>
    <row r="862" ht="12.75" customFormat="1" customHeight="1" s="76">
      <c r="A862" s="2" t="n"/>
      <c r="B862" s="2" t="n"/>
      <c r="C862" s="2" t="n"/>
      <c r="D862" s="2" t="n"/>
    </row>
    <row r="863" ht="12.75" customFormat="1" customHeight="1" s="76">
      <c r="A863" s="2" t="n"/>
      <c r="B863" s="2" t="n"/>
      <c r="C863" s="2" t="n"/>
      <c r="D863" s="2" t="n"/>
    </row>
    <row r="864" ht="12.75" customFormat="1" customHeight="1" s="76">
      <c r="A864" s="2" t="n"/>
      <c r="B864" s="2" t="n"/>
      <c r="C864" s="2" t="n"/>
      <c r="D864" s="2" t="n"/>
    </row>
    <row r="865" ht="12.75" customFormat="1" customHeight="1" s="76">
      <c r="A865" s="2" t="n"/>
      <c r="B865" s="2" t="n"/>
      <c r="C865" s="2" t="n"/>
      <c r="D865" s="2" t="n"/>
    </row>
    <row r="866" ht="12.75" customFormat="1" customHeight="1" s="76">
      <c r="A866" s="2" t="n"/>
      <c r="B866" s="2" t="n"/>
      <c r="C866" s="2" t="n"/>
      <c r="D866" s="2" t="n"/>
    </row>
    <row r="867" ht="12.75" customFormat="1" customHeight="1" s="76">
      <c r="A867" s="2" t="n"/>
      <c r="B867" s="2" t="n"/>
      <c r="C867" s="2" t="n"/>
      <c r="D867" s="2" t="n"/>
    </row>
    <row r="868" ht="12.75" customFormat="1" customHeight="1" s="76">
      <c r="A868" s="2" t="n"/>
      <c r="B868" s="2" t="n"/>
      <c r="C868" s="2" t="n"/>
      <c r="D868" s="2" t="n"/>
    </row>
    <row r="869" ht="12.75" customFormat="1" customHeight="1" s="76">
      <c r="A869" s="2" t="n"/>
      <c r="B869" s="2" t="n"/>
      <c r="C869" s="2" t="n"/>
      <c r="D869" s="2" t="n"/>
    </row>
    <row r="870" ht="12.75" customFormat="1" customHeight="1" s="76">
      <c r="A870" s="2" t="n"/>
      <c r="B870" s="2" t="n"/>
      <c r="C870" s="2" t="n"/>
      <c r="D870" s="2" t="n"/>
    </row>
    <row r="871" ht="12.75" customFormat="1" customHeight="1" s="76">
      <c r="A871" s="2" t="n"/>
      <c r="B871" s="2" t="n"/>
      <c r="C871" s="2" t="n"/>
      <c r="D871" s="2" t="n"/>
    </row>
    <row r="872" ht="12.75" customFormat="1" customHeight="1" s="76">
      <c r="A872" s="2" t="n"/>
      <c r="B872" s="2" t="n"/>
      <c r="C872" s="2" t="n"/>
      <c r="D872" s="2" t="n"/>
    </row>
    <row r="873" ht="12.75" customFormat="1" customHeight="1" s="76">
      <c r="A873" s="2" t="n"/>
      <c r="B873" s="2" t="n"/>
      <c r="C873" s="2" t="n"/>
      <c r="D873" s="2" t="n"/>
    </row>
    <row r="874" ht="12.75" customFormat="1" customHeight="1" s="76">
      <c r="A874" s="2" t="n"/>
      <c r="B874" s="2" t="n"/>
      <c r="C874" s="2" t="n"/>
      <c r="D874" s="2" t="n"/>
    </row>
    <row r="875" ht="12.75" customFormat="1" customHeight="1" s="76">
      <c r="A875" s="2" t="n"/>
      <c r="B875" s="2" t="n"/>
      <c r="C875" s="2" t="n"/>
      <c r="D875" s="2" t="n"/>
    </row>
    <row r="876" ht="12.75" customFormat="1" customHeight="1" s="76">
      <c r="A876" s="2" t="n"/>
      <c r="B876" s="2" t="n"/>
      <c r="C876" s="2" t="n"/>
      <c r="D876" s="2" t="n"/>
    </row>
    <row r="877" ht="12.75" customFormat="1" customHeight="1" s="76">
      <c r="A877" s="2" t="n"/>
      <c r="B877" s="2" t="n"/>
      <c r="C877" s="2" t="n"/>
      <c r="D877" s="2" t="n"/>
    </row>
    <row r="878" ht="12.75" customFormat="1" customHeight="1" s="76">
      <c r="A878" s="2" t="n"/>
      <c r="B878" s="2" t="n"/>
      <c r="C878" s="2" t="n"/>
      <c r="D878" s="2" t="n"/>
    </row>
    <row r="879" ht="12.75" customFormat="1" customHeight="1" s="76">
      <c r="A879" s="2" t="n"/>
      <c r="B879" s="2" t="n"/>
      <c r="C879" s="2" t="n"/>
      <c r="D879" s="2" t="n"/>
    </row>
    <row r="880" ht="12.75" customFormat="1" customHeight="1" s="76">
      <c r="A880" s="2" t="n"/>
      <c r="B880" s="2" t="n"/>
      <c r="C880" s="2" t="n"/>
      <c r="D880" s="2" t="n"/>
    </row>
    <row r="881" ht="12.75" customFormat="1" customHeight="1" s="76">
      <c r="A881" s="2" t="n"/>
      <c r="B881" s="2" t="n"/>
      <c r="C881" s="2" t="n"/>
      <c r="D881" s="2" t="n"/>
    </row>
    <row r="882" ht="12.75" customFormat="1" customHeight="1" s="76">
      <c r="A882" s="2" t="n"/>
      <c r="B882" s="2" t="n"/>
      <c r="C882" s="2" t="n"/>
      <c r="D882" s="2" t="n"/>
    </row>
    <row r="883" ht="12.75" customFormat="1" customHeight="1" s="76">
      <c r="A883" s="2" t="n"/>
      <c r="B883" s="2" t="n"/>
      <c r="C883" s="2" t="n"/>
      <c r="D883" s="2" t="n"/>
    </row>
    <row r="884" ht="12.75" customFormat="1" customHeight="1" s="76">
      <c r="A884" s="2" t="n"/>
      <c r="B884" s="2" t="n"/>
      <c r="C884" s="2" t="n"/>
      <c r="D884" s="2" t="n"/>
    </row>
    <row r="885" ht="12.75" customFormat="1" customHeight="1" s="76">
      <c r="A885" s="2" t="n"/>
      <c r="B885" s="2" t="n"/>
      <c r="C885" s="2" t="n"/>
      <c r="D885" s="2" t="n"/>
    </row>
    <row r="886" ht="12.75" customFormat="1" customHeight="1" s="76">
      <c r="A886" s="2" t="n"/>
      <c r="B886" s="2" t="n"/>
      <c r="C886" s="2" t="n"/>
      <c r="D886" s="2" t="n"/>
    </row>
    <row r="887" ht="12.75" customFormat="1" customHeight="1" s="76">
      <c r="A887" s="2" t="n"/>
      <c r="B887" s="2" t="n"/>
      <c r="C887" s="2" t="n"/>
      <c r="D887" s="2" t="n"/>
    </row>
    <row r="888" ht="12.75" customFormat="1" customHeight="1" s="76">
      <c r="A888" s="2" t="n"/>
      <c r="B888" s="2" t="n"/>
      <c r="C888" s="2" t="n"/>
      <c r="D888" s="2" t="n"/>
    </row>
    <row r="889" ht="12.75" customFormat="1" customHeight="1" s="76">
      <c r="A889" s="2" t="n"/>
      <c r="B889" s="2" t="n"/>
      <c r="C889" s="2" t="n"/>
      <c r="D889" s="2" t="n"/>
    </row>
    <row r="890" ht="12.75" customFormat="1" customHeight="1" s="76">
      <c r="A890" s="2" t="n"/>
      <c r="B890" s="2" t="n"/>
      <c r="C890" s="2" t="n"/>
      <c r="D890" s="2" t="n"/>
    </row>
    <row r="891" ht="12.75" customFormat="1" customHeight="1" s="76">
      <c r="A891" s="2" t="n"/>
      <c r="B891" s="2" t="n"/>
      <c r="C891" s="2" t="n"/>
      <c r="D891" s="2" t="n"/>
    </row>
    <row r="892" ht="12.75" customFormat="1" customHeight="1" s="76">
      <c r="A892" s="2" t="n"/>
      <c r="B892" s="2" t="n"/>
      <c r="C892" s="2" t="n"/>
      <c r="D892" s="2" t="n"/>
    </row>
    <row r="893" ht="12.75" customFormat="1" customHeight="1" s="76">
      <c r="A893" s="2" t="n"/>
      <c r="B893" s="2" t="n"/>
      <c r="C893" s="2" t="n"/>
      <c r="D893" s="2" t="n"/>
    </row>
    <row r="894" ht="12.75" customFormat="1" customHeight="1" s="76">
      <c r="A894" s="2" t="n"/>
      <c r="B894" s="2" t="n"/>
      <c r="C894" s="2" t="n"/>
      <c r="D894" s="2" t="n"/>
    </row>
    <row r="895" ht="12.75" customFormat="1" customHeight="1" s="76">
      <c r="A895" s="2" t="n"/>
      <c r="B895" s="2" t="n"/>
      <c r="C895" s="2" t="n"/>
      <c r="D895" s="2" t="n"/>
    </row>
    <row r="896" ht="12.75" customFormat="1" customHeight="1" s="76">
      <c r="A896" s="2" t="n"/>
      <c r="B896" s="2" t="n"/>
      <c r="C896" s="2" t="n"/>
      <c r="D896" s="2" t="n"/>
    </row>
    <row r="897" ht="12.75" customFormat="1" customHeight="1" s="76">
      <c r="A897" s="2" t="n"/>
      <c r="B897" s="2" t="n"/>
      <c r="C897" s="2" t="n"/>
      <c r="D897" s="2" t="n"/>
    </row>
    <row r="898" ht="12.75" customFormat="1" customHeight="1" s="76">
      <c r="A898" s="2" t="n"/>
      <c r="B898" s="2" t="n"/>
      <c r="C898" s="2" t="n"/>
      <c r="D898" s="2" t="n"/>
    </row>
    <row r="899" ht="12.75" customFormat="1" customHeight="1" s="76">
      <c r="A899" s="2" t="n"/>
      <c r="B899" s="2" t="n"/>
      <c r="C899" s="2" t="n"/>
      <c r="D899" s="2" t="n"/>
    </row>
    <row r="900" ht="12.75" customFormat="1" customHeight="1" s="76">
      <c r="A900" s="2" t="n"/>
      <c r="B900" s="2" t="n"/>
      <c r="C900" s="2" t="n"/>
      <c r="D900" s="2" t="n"/>
    </row>
    <row r="901" ht="12.75" customFormat="1" customHeight="1" s="76">
      <c r="A901" s="2" t="n"/>
      <c r="B901" s="2" t="n"/>
      <c r="C901" s="2" t="n"/>
      <c r="D901" s="2" t="n"/>
    </row>
    <row r="902" ht="12.75" customFormat="1" customHeight="1" s="76">
      <c r="A902" s="2" t="n"/>
      <c r="B902" s="2" t="n"/>
      <c r="C902" s="2" t="n"/>
      <c r="D902" s="2" t="n"/>
    </row>
    <row r="903" ht="12.75" customFormat="1" customHeight="1" s="76">
      <c r="A903" s="2" t="n"/>
      <c r="B903" s="2" t="n"/>
      <c r="C903" s="2" t="n"/>
      <c r="D903" s="2" t="n"/>
    </row>
    <row r="904" ht="12.75" customFormat="1" customHeight="1" s="76">
      <c r="A904" s="2" t="n"/>
      <c r="B904" s="2" t="n"/>
      <c r="C904" s="2" t="n"/>
      <c r="D904" s="2" t="n"/>
    </row>
    <row r="905" ht="12.75" customFormat="1" customHeight="1" s="76">
      <c r="A905" s="2" t="n"/>
      <c r="B905" s="2" t="n"/>
      <c r="C905" s="2" t="n"/>
      <c r="D905" s="2" t="n"/>
    </row>
    <row r="906" ht="12.75" customFormat="1" customHeight="1" s="76">
      <c r="A906" s="2" t="n"/>
      <c r="B906" s="2" t="n"/>
      <c r="C906" s="2" t="n"/>
      <c r="D906" s="2" t="n"/>
    </row>
    <row r="907" ht="12.75" customFormat="1" customHeight="1" s="76">
      <c r="A907" s="2" t="n"/>
      <c r="B907" s="2" t="n"/>
      <c r="C907" s="2" t="n"/>
      <c r="D907" s="2" t="n"/>
    </row>
    <row r="908" ht="12.75" customFormat="1" customHeight="1" s="76">
      <c r="A908" s="2" t="n"/>
      <c r="B908" s="2" t="n"/>
      <c r="C908" s="2" t="n"/>
      <c r="D908" s="2" t="n"/>
    </row>
    <row r="909" ht="12.75" customFormat="1" customHeight="1" s="76">
      <c r="A909" s="2" t="n"/>
      <c r="B909" s="2" t="n"/>
      <c r="C909" s="2" t="n"/>
      <c r="D909" s="2" t="n"/>
    </row>
    <row r="910" ht="12.75" customFormat="1" customHeight="1" s="76">
      <c r="A910" s="2" t="n"/>
      <c r="B910" s="2" t="n"/>
      <c r="C910" s="2" t="n"/>
      <c r="D910" s="2" t="n"/>
    </row>
    <row r="911" ht="12.75" customFormat="1" customHeight="1" s="76">
      <c r="A911" s="2" t="n"/>
      <c r="B911" s="2" t="n"/>
      <c r="C911" s="2" t="n"/>
      <c r="D911" s="2" t="n"/>
    </row>
    <row r="912" ht="12.75" customFormat="1" customHeight="1" s="76">
      <c r="A912" s="2" t="n"/>
      <c r="B912" s="2" t="n"/>
      <c r="C912" s="2" t="n"/>
      <c r="D912" s="2" t="n"/>
    </row>
    <row r="913" ht="12.75" customFormat="1" customHeight="1" s="76">
      <c r="A913" s="2" t="n"/>
      <c r="B913" s="2" t="n"/>
      <c r="C913" s="2" t="n"/>
      <c r="D913" s="2" t="n"/>
    </row>
    <row r="914" ht="12.75" customFormat="1" customHeight="1" s="76">
      <c r="A914" s="2" t="n"/>
      <c r="B914" s="2" t="n"/>
      <c r="C914" s="2" t="n"/>
      <c r="D914" s="2" t="n"/>
    </row>
    <row r="915" ht="12.75" customFormat="1" customHeight="1" s="76">
      <c r="A915" s="2" t="n"/>
      <c r="B915" s="2" t="n"/>
      <c r="C915" s="2" t="n"/>
      <c r="D915" s="2" t="n"/>
    </row>
    <row r="916" ht="12.75" customFormat="1" customHeight="1" s="76">
      <c r="A916" s="2" t="n"/>
      <c r="B916" s="2" t="n"/>
      <c r="C916" s="2" t="n"/>
      <c r="D916" s="2" t="n"/>
    </row>
    <row r="917" ht="12.75" customFormat="1" customHeight="1" s="76">
      <c r="A917" s="2" t="n"/>
      <c r="B917" s="2" t="n"/>
      <c r="C917" s="2" t="n"/>
      <c r="D917" s="2" t="n"/>
    </row>
    <row r="918" ht="12.75" customFormat="1" customHeight="1" s="76">
      <c r="A918" s="2" t="n"/>
      <c r="B918" s="2" t="n"/>
      <c r="C918" s="2" t="n"/>
      <c r="D918" s="2" t="n"/>
    </row>
    <row r="919" ht="12.75" customFormat="1" customHeight="1" s="76">
      <c r="A919" s="2" t="n"/>
      <c r="B919" s="2" t="n"/>
      <c r="C919" s="2" t="n"/>
      <c r="D919" s="2" t="n"/>
    </row>
    <row r="920" ht="12.75" customFormat="1" customHeight="1" s="76">
      <c r="A920" s="2" t="n"/>
      <c r="B920" s="2" t="n"/>
      <c r="C920" s="2" t="n"/>
      <c r="D920" s="2" t="n"/>
    </row>
    <row r="921" ht="12.75" customFormat="1" customHeight="1" s="76">
      <c r="A921" s="2" t="n"/>
      <c r="B921" s="2" t="n"/>
      <c r="C921" s="2" t="n"/>
      <c r="D921" s="2" t="n"/>
    </row>
    <row r="922" ht="12.75" customFormat="1" customHeight="1" s="76">
      <c r="A922" s="2" t="n"/>
      <c r="B922" s="2" t="n"/>
      <c r="C922" s="2" t="n"/>
      <c r="D922" s="2" t="n"/>
    </row>
    <row r="923" ht="12.75" customFormat="1" customHeight="1" s="76">
      <c r="A923" s="2" t="n"/>
      <c r="B923" s="2" t="n"/>
      <c r="C923" s="2" t="n"/>
      <c r="D923" s="2" t="n"/>
    </row>
    <row r="924" ht="12.75" customFormat="1" customHeight="1" s="76">
      <c r="A924" s="2" t="n"/>
      <c r="B924" s="2" t="n"/>
      <c r="C924" s="2" t="n"/>
      <c r="D924" s="2" t="n"/>
    </row>
    <row r="925" ht="12.75" customFormat="1" customHeight="1" s="76">
      <c r="A925" s="2" t="n"/>
      <c r="B925" s="2" t="n"/>
      <c r="C925" s="2" t="n"/>
      <c r="D925" s="2" t="n"/>
    </row>
    <row r="926" ht="12.75" customFormat="1" customHeight="1" s="76">
      <c r="A926" s="2" t="n"/>
      <c r="B926" s="2" t="n"/>
      <c r="C926" s="2" t="n"/>
      <c r="D926" s="2" t="n"/>
    </row>
    <row r="927" ht="12.75" customFormat="1" customHeight="1" s="76">
      <c r="A927" s="2" t="n"/>
      <c r="B927" s="2" t="n"/>
      <c r="C927" s="2" t="n"/>
      <c r="D927" s="2" t="n"/>
    </row>
    <row r="928" ht="12.75" customFormat="1" customHeight="1" s="76">
      <c r="A928" s="2" t="n"/>
      <c r="B928" s="2" t="n"/>
      <c r="C928" s="2" t="n"/>
      <c r="D928" s="2" t="n"/>
    </row>
    <row r="929" ht="12.75" customFormat="1" customHeight="1" s="76">
      <c r="A929" s="2" t="n"/>
      <c r="B929" s="2" t="n"/>
      <c r="C929" s="2" t="n"/>
      <c r="D929" s="2" t="n"/>
    </row>
    <row r="930" ht="12.75" customFormat="1" customHeight="1" s="76">
      <c r="A930" s="2" t="n"/>
      <c r="B930" s="2" t="n"/>
      <c r="C930" s="2" t="n"/>
      <c r="D930" s="2" t="n"/>
    </row>
    <row r="931" ht="12.75" customFormat="1" customHeight="1" s="76">
      <c r="A931" s="2" t="n"/>
      <c r="B931" s="2" t="n"/>
      <c r="C931" s="2" t="n"/>
      <c r="D931" s="2" t="n"/>
    </row>
    <row r="932" ht="12.75" customFormat="1" customHeight="1" s="76">
      <c r="A932" s="2" t="n"/>
      <c r="B932" s="2" t="n"/>
      <c r="C932" s="2" t="n"/>
      <c r="D932" s="2" t="n"/>
    </row>
    <row r="933" ht="12.75" customFormat="1" customHeight="1" s="76">
      <c r="A933" s="2" t="n"/>
      <c r="B933" s="2" t="n"/>
      <c r="C933" s="2" t="n"/>
      <c r="D933" s="2" t="n"/>
    </row>
    <row r="934" ht="12.75" customFormat="1" customHeight="1" s="76">
      <c r="A934" s="2" t="n"/>
      <c r="B934" s="2" t="n"/>
      <c r="C934" s="2" t="n"/>
      <c r="D934" s="2" t="n"/>
    </row>
    <row r="935" ht="12.75" customFormat="1" customHeight="1" s="76">
      <c r="A935" s="2" t="n"/>
      <c r="B935" s="2" t="n"/>
      <c r="C935" s="2" t="n"/>
      <c r="D935" s="2" t="n"/>
    </row>
    <row r="936" ht="12.75" customFormat="1" customHeight="1" s="76">
      <c r="A936" s="2" t="n"/>
      <c r="B936" s="2" t="n"/>
      <c r="C936" s="2" t="n"/>
      <c r="D936" s="2" t="n"/>
    </row>
    <row r="937" ht="12.75" customFormat="1" customHeight="1" s="76">
      <c r="A937" s="2" t="n"/>
      <c r="B937" s="2" t="n"/>
      <c r="C937" s="2" t="n"/>
      <c r="D937" s="2" t="n"/>
    </row>
    <row r="938" ht="12.75" customFormat="1" customHeight="1" s="76">
      <c r="A938" s="2" t="n"/>
      <c r="B938" s="2" t="n"/>
      <c r="C938" s="2" t="n"/>
      <c r="D938" s="2" t="n"/>
    </row>
    <row r="939" ht="12.75" customFormat="1" customHeight="1" s="76">
      <c r="A939" s="2" t="n"/>
      <c r="B939" s="2" t="n"/>
      <c r="C939" s="2" t="n"/>
      <c r="D939" s="2" t="n"/>
    </row>
    <row r="940" ht="12.75" customFormat="1" customHeight="1" s="76">
      <c r="A940" s="2" t="n"/>
      <c r="B940" s="2" t="n"/>
      <c r="C940" s="2" t="n"/>
      <c r="D940" s="2" t="n"/>
    </row>
    <row r="941" ht="12.75" customFormat="1" customHeight="1" s="76">
      <c r="A941" s="2" t="n"/>
      <c r="B941" s="2" t="n"/>
      <c r="C941" s="2" t="n"/>
      <c r="D941" s="2" t="n"/>
    </row>
    <row r="942" ht="12.75" customFormat="1" customHeight="1" s="76">
      <c r="A942" s="2" t="n"/>
      <c r="B942" s="2" t="n"/>
      <c r="C942" s="2" t="n"/>
      <c r="D942" s="2" t="n"/>
    </row>
    <row r="943" ht="12.75" customFormat="1" customHeight="1" s="76">
      <c r="A943" s="2" t="n"/>
      <c r="B943" s="2" t="n"/>
      <c r="C943" s="2" t="n"/>
      <c r="D943" s="2" t="n"/>
    </row>
    <row r="944" ht="12.75" customFormat="1" customHeight="1" s="76">
      <c r="A944" s="2" t="n"/>
      <c r="B944" s="2" t="n"/>
      <c r="C944" s="2" t="n"/>
      <c r="D944" s="2" t="n"/>
    </row>
    <row r="945" ht="12.75" customFormat="1" customHeight="1" s="76">
      <c r="A945" s="2" t="n"/>
      <c r="B945" s="2" t="n"/>
      <c r="C945" s="2" t="n"/>
      <c r="D945" s="2" t="n"/>
    </row>
    <row r="946" ht="12.75" customFormat="1" customHeight="1" s="76">
      <c r="A946" s="2" t="n"/>
      <c r="B946" s="2" t="n"/>
      <c r="C946" s="2" t="n"/>
      <c r="D946" s="2" t="n"/>
    </row>
    <row r="947" ht="12.75" customFormat="1" customHeight="1" s="76">
      <c r="A947" s="2" t="n"/>
      <c r="B947" s="2" t="n"/>
      <c r="C947" s="2" t="n"/>
      <c r="D947" s="2" t="n"/>
    </row>
    <row r="948" ht="12.75" customFormat="1" customHeight="1" s="76">
      <c r="A948" s="2" t="n"/>
      <c r="B948" s="2" t="n"/>
      <c r="C948" s="2" t="n"/>
      <c r="D948" s="2" t="n"/>
    </row>
    <row r="949" ht="12.75" customFormat="1" customHeight="1" s="76">
      <c r="A949" s="2" t="n"/>
      <c r="B949" s="2" t="n"/>
      <c r="C949" s="2" t="n"/>
      <c r="D949" s="2" t="n"/>
    </row>
    <row r="950" ht="12.75" customFormat="1" customHeight="1" s="76">
      <c r="A950" s="2" t="n"/>
      <c r="B950" s="2" t="n"/>
      <c r="C950" s="2" t="n"/>
      <c r="D950" s="2" t="n"/>
    </row>
    <row r="951" ht="12.75" customFormat="1" customHeight="1" s="76">
      <c r="A951" s="2" t="n"/>
      <c r="B951" s="2" t="n"/>
      <c r="C951" s="2" t="n"/>
      <c r="D951" s="2" t="n"/>
    </row>
    <row r="952" ht="12.75" customFormat="1" customHeight="1" s="76">
      <c r="A952" s="2" t="n"/>
      <c r="B952" s="2" t="n"/>
      <c r="C952" s="2" t="n"/>
      <c r="D952" s="2" t="n"/>
    </row>
    <row r="953" ht="12.75" customFormat="1" customHeight="1" s="76">
      <c r="A953" s="2" t="n"/>
      <c r="B953" s="2" t="n"/>
      <c r="C953" s="2" t="n"/>
      <c r="D953" s="2" t="n"/>
    </row>
    <row r="954" ht="12.75" customFormat="1" customHeight="1" s="76">
      <c r="A954" s="2" t="n"/>
      <c r="B954" s="2" t="n"/>
      <c r="C954" s="2" t="n"/>
      <c r="D954" s="2" t="n"/>
    </row>
    <row r="955" ht="12.75" customFormat="1" customHeight="1" s="76">
      <c r="A955" s="2" t="n"/>
      <c r="B955" s="2" t="n"/>
      <c r="C955" s="2" t="n"/>
      <c r="D955" s="2" t="n"/>
    </row>
    <row r="956" ht="12.75" customFormat="1" customHeight="1" s="76">
      <c r="A956" s="2" t="n"/>
      <c r="B956" s="2" t="n"/>
      <c r="C956" s="2" t="n"/>
      <c r="D956" s="2" t="n"/>
    </row>
    <row r="957" ht="12.75" customFormat="1" customHeight="1" s="76">
      <c r="A957" s="2" t="n"/>
      <c r="B957" s="2" t="n"/>
      <c r="C957" s="2" t="n"/>
      <c r="D957" s="2" t="n"/>
    </row>
    <row r="958" ht="12.75" customFormat="1" customHeight="1" s="76">
      <c r="A958" s="2" t="n"/>
      <c r="B958" s="2" t="n"/>
      <c r="C958" s="2" t="n"/>
      <c r="D958" s="2" t="n"/>
    </row>
    <row r="959" ht="12.75" customFormat="1" customHeight="1" s="76">
      <c r="A959" s="2" t="n"/>
      <c r="B959" s="2" t="n"/>
      <c r="C959" s="2" t="n"/>
      <c r="D959" s="2" t="n"/>
    </row>
    <row r="960" ht="12.75" customFormat="1" customHeight="1" s="76">
      <c r="A960" s="2" t="n"/>
      <c r="B960" s="2" t="n"/>
      <c r="C960" s="2" t="n"/>
      <c r="D960" s="2" t="n"/>
    </row>
    <row r="961" ht="12.75" customFormat="1" customHeight="1" s="76">
      <c r="A961" s="2" t="n"/>
      <c r="B961" s="2" t="n"/>
      <c r="C961" s="2" t="n"/>
      <c r="D961" s="2" t="n"/>
    </row>
    <row r="962" ht="12.75" customFormat="1" customHeight="1" s="76">
      <c r="A962" s="2" t="n"/>
      <c r="B962" s="2" t="n"/>
      <c r="C962" s="2" t="n"/>
      <c r="D962" s="2" t="n"/>
    </row>
    <row r="963" ht="12.75" customFormat="1" customHeight="1" s="76">
      <c r="A963" s="2" t="n"/>
      <c r="B963" s="2" t="n"/>
      <c r="C963" s="2" t="n"/>
      <c r="D963" s="2" t="n"/>
    </row>
    <row r="964" ht="12.75" customFormat="1" customHeight="1" s="76">
      <c r="A964" s="2" t="n"/>
      <c r="B964" s="2" t="n"/>
      <c r="C964" s="2" t="n"/>
      <c r="D964" s="2" t="n"/>
    </row>
    <row r="965" ht="12.75" customFormat="1" customHeight="1" s="76">
      <c r="A965" s="2" t="n"/>
      <c r="B965" s="2" t="n"/>
      <c r="C965" s="2" t="n"/>
      <c r="D965" s="2" t="n"/>
    </row>
    <row r="966" ht="12.75" customFormat="1" customHeight="1" s="76">
      <c r="A966" s="2" t="n"/>
      <c r="B966" s="2" t="n"/>
      <c r="C966" s="2" t="n"/>
      <c r="D966" s="2" t="n"/>
    </row>
    <row r="967" ht="12.75" customFormat="1" customHeight="1" s="76">
      <c r="A967" s="2" t="n"/>
      <c r="B967" s="2" t="n"/>
      <c r="C967" s="2" t="n"/>
      <c r="D967" s="2" t="n"/>
    </row>
    <row r="968" ht="12.75" customFormat="1" customHeight="1" s="76">
      <c r="A968" s="2" t="n"/>
      <c r="B968" s="2" t="n"/>
      <c r="C968" s="2" t="n"/>
      <c r="D968" s="2" t="n"/>
    </row>
    <row r="969" ht="12.75" customFormat="1" customHeight="1" s="76">
      <c r="A969" s="2" t="n"/>
      <c r="B969" s="2" t="n"/>
      <c r="C969" s="2" t="n"/>
      <c r="D969" s="2" t="n"/>
    </row>
    <row r="970" ht="12.75" customFormat="1" customHeight="1" s="76">
      <c r="A970" s="2" t="n"/>
      <c r="B970" s="2" t="n"/>
      <c r="C970" s="2" t="n"/>
      <c r="D970" s="2" t="n"/>
    </row>
    <row r="971" ht="12.75" customFormat="1" customHeight="1" s="76">
      <c r="A971" s="2" t="n"/>
      <c r="B971" s="2" t="n"/>
      <c r="C971" s="2" t="n"/>
      <c r="D971" s="2" t="n"/>
    </row>
    <row r="972" ht="12.75" customFormat="1" customHeight="1" s="76">
      <c r="A972" s="2" t="n"/>
      <c r="B972" s="2" t="n"/>
      <c r="C972" s="2" t="n"/>
      <c r="D972" s="2" t="n"/>
    </row>
    <row r="973" ht="12.75" customFormat="1" customHeight="1" s="76">
      <c r="A973" s="2" t="n"/>
      <c r="B973" s="2" t="n"/>
      <c r="C973" s="2" t="n"/>
      <c r="D973" s="2" t="n"/>
    </row>
    <row r="974" ht="12.75" customFormat="1" customHeight="1" s="76">
      <c r="A974" s="2" t="n"/>
      <c r="B974" s="2" t="n"/>
      <c r="C974" s="2" t="n"/>
      <c r="D974" s="2" t="n"/>
    </row>
    <row r="975" ht="12.75" customFormat="1" customHeight="1" s="76">
      <c r="A975" s="2" t="n"/>
      <c r="B975" s="2" t="n"/>
      <c r="C975" s="2" t="n"/>
      <c r="D975" s="2" t="n"/>
    </row>
    <row r="976" ht="12.75" customFormat="1" customHeight="1" s="76">
      <c r="A976" s="2" t="n"/>
      <c r="B976" s="2" t="n"/>
      <c r="C976" s="2" t="n"/>
      <c r="D976" s="2" t="n"/>
    </row>
    <row r="977" ht="12.75" customFormat="1" customHeight="1" s="76">
      <c r="A977" s="2" t="n"/>
      <c r="B977" s="2" t="n"/>
      <c r="C977" s="2" t="n"/>
      <c r="D977" s="2" t="n"/>
    </row>
    <row r="978" ht="12.75" customFormat="1" customHeight="1" s="76">
      <c r="A978" s="2" t="n"/>
      <c r="B978" s="2" t="n"/>
      <c r="C978" s="2" t="n"/>
      <c r="D978" s="2" t="n"/>
    </row>
    <row r="979" ht="12.75" customFormat="1" customHeight="1" s="76">
      <c r="A979" s="2" t="n"/>
      <c r="B979" s="2" t="n"/>
      <c r="C979" s="2" t="n"/>
      <c r="D979" s="2" t="n"/>
    </row>
    <row r="980" ht="12.75" customFormat="1" customHeight="1" s="76">
      <c r="A980" s="2" t="n"/>
      <c r="B980" s="2" t="n"/>
      <c r="C980" s="2" t="n"/>
      <c r="D980" s="2" t="n"/>
    </row>
    <row r="981" ht="12.75" customFormat="1" customHeight="1" s="76">
      <c r="A981" s="2" t="n"/>
      <c r="B981" s="2" t="n"/>
      <c r="C981" s="2" t="n"/>
      <c r="D981" s="2" t="n"/>
    </row>
    <row r="982" ht="12.75" customFormat="1" customHeight="1" s="76">
      <c r="A982" s="2" t="n"/>
      <c r="B982" s="2" t="n"/>
      <c r="C982" s="2" t="n"/>
      <c r="D982" s="2" t="n"/>
    </row>
    <row r="983" ht="12.75" customFormat="1" customHeight="1" s="76">
      <c r="A983" s="2" t="n"/>
      <c r="B983" s="2" t="n"/>
      <c r="C983" s="2" t="n"/>
      <c r="D983" s="2" t="n"/>
    </row>
    <row r="984" ht="12.75" customFormat="1" customHeight="1" s="76">
      <c r="A984" s="2" t="n"/>
      <c r="B984" s="2" t="n"/>
      <c r="C984" s="2" t="n"/>
      <c r="D984" s="2" t="n"/>
    </row>
    <row r="985" ht="12.75" customFormat="1" customHeight="1" s="76">
      <c r="A985" s="2" t="n"/>
      <c r="B985" s="2" t="n"/>
      <c r="C985" s="2" t="n"/>
      <c r="D985" s="2" t="n"/>
    </row>
    <row r="986" ht="12.75" customFormat="1" customHeight="1" s="76">
      <c r="A986" s="2" t="n"/>
      <c r="B986" s="2" t="n"/>
      <c r="C986" s="2" t="n"/>
      <c r="D986" s="2" t="n"/>
    </row>
    <row r="987" ht="12.75" customFormat="1" customHeight="1" s="76">
      <c r="A987" s="2" t="n"/>
      <c r="B987" s="2" t="n"/>
      <c r="C987" s="2" t="n"/>
      <c r="D987" s="2" t="n"/>
    </row>
    <row r="988" ht="12.75" customFormat="1" customHeight="1" s="76">
      <c r="A988" s="2" t="n"/>
      <c r="B988" s="2" t="n"/>
      <c r="C988" s="2" t="n"/>
      <c r="D988" s="2" t="n"/>
    </row>
    <row r="989" ht="12.75" customFormat="1" customHeight="1" s="76">
      <c r="A989" s="2" t="n"/>
      <c r="B989" s="2" t="n"/>
      <c r="C989" s="2" t="n"/>
      <c r="D989" s="2" t="n"/>
    </row>
    <row r="990" ht="12.75" customFormat="1" customHeight="1" s="76">
      <c r="A990" s="2" t="n"/>
      <c r="B990" s="2" t="n"/>
      <c r="C990" s="2" t="n"/>
      <c r="D990" s="2" t="n"/>
    </row>
    <row r="991" ht="12.75" customFormat="1" customHeight="1" s="76">
      <c r="A991" s="2" t="n"/>
      <c r="B991" s="2" t="n"/>
      <c r="C991" s="2" t="n"/>
      <c r="D991" s="2" t="n"/>
    </row>
    <row r="992" ht="12.75" customFormat="1" customHeight="1" s="76">
      <c r="A992" s="2" t="n"/>
      <c r="B992" s="2" t="n"/>
      <c r="C992" s="2" t="n"/>
      <c r="D992" s="2" t="n"/>
    </row>
    <row r="993" ht="12.75" customFormat="1" customHeight="1" s="76">
      <c r="A993" s="2" t="n"/>
      <c r="B993" s="2" t="n"/>
      <c r="C993" s="2" t="n"/>
      <c r="D993" s="2" t="n"/>
    </row>
    <row r="994" ht="12.75" customFormat="1" customHeight="1" s="76">
      <c r="A994" s="2" t="n"/>
      <c r="B994" s="2" t="n"/>
      <c r="C994" s="2" t="n"/>
      <c r="D994" s="2" t="n"/>
    </row>
    <row r="995" ht="12.75" customFormat="1" customHeight="1" s="76">
      <c r="A995" s="2" t="n"/>
      <c r="B995" s="2" t="n"/>
      <c r="C995" s="2" t="n"/>
      <c r="D995" s="2" t="n"/>
    </row>
    <row r="996" ht="12.75" customFormat="1" customHeight="1" s="76">
      <c r="A996" s="2" t="n"/>
      <c r="B996" s="2" t="n"/>
      <c r="C996" s="2" t="n"/>
      <c r="D996" s="2" t="n"/>
    </row>
    <row r="997" ht="12.75" customFormat="1" customHeight="1" s="76">
      <c r="A997" s="2" t="n"/>
      <c r="B997" s="2" t="n"/>
      <c r="C997" s="2" t="n"/>
      <c r="D997" s="2" t="n"/>
    </row>
    <row r="998" ht="12.75" customFormat="1" customHeight="1" s="76">
      <c r="A998" s="2" t="n"/>
      <c r="B998" s="2" t="n"/>
      <c r="C998" s="2" t="n"/>
      <c r="D998" s="2" t="n"/>
    </row>
    <row r="999" ht="12.75" customFormat="1" customHeight="1" s="76">
      <c r="A999" s="2" t="n"/>
      <c r="B999" s="2" t="n"/>
      <c r="C999" s="2" t="n"/>
      <c r="D999" s="2" t="n"/>
    </row>
    <row r="1000" ht="12.75" customFormat="1" customHeight="1" s="76">
      <c r="A1000" s="2" t="n"/>
      <c r="B1000" s="2" t="n"/>
      <c r="C1000" s="2" t="n"/>
      <c r="D1000" s="2" t="n"/>
    </row>
  </sheetData>
  <mergeCells count="8">
    <mergeCell ref="A1:D1"/>
    <mergeCell ref="B3:D3"/>
    <mergeCell ref="A31:D31"/>
    <mergeCell ref="A6:D6"/>
    <mergeCell ref="B4:D4"/>
    <mergeCell ref="A15:D15"/>
    <mergeCell ref="A32:D32"/>
    <mergeCell ref="B2:D2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H267"/>
  <sheetViews>
    <sheetView tabSelected="1" workbookViewId="0">
      <selection activeCell="B11" sqref="B11"/>
    </sheetView>
  </sheetViews>
  <sheetFormatPr baseColWidth="8" defaultColWidth="14.42578125" defaultRowHeight="12.75"/>
  <cols>
    <col width="32" customWidth="1" style="76" min="1" max="1"/>
    <col width="28" customWidth="1" style="76" min="2" max="2"/>
    <col width="30" customWidth="1" min="3" max="28"/>
    <col width="34" customWidth="1" min="29" max="91"/>
    <col width="32" customWidth="1" style="76" min="92" max="112"/>
  </cols>
  <sheetData>
    <row r="1" ht="12.75" customFormat="1" customHeight="1" s="76">
      <c r="A1" s="76" t="inlineStr">
        <is>
          <t>кадр1</t>
        </is>
      </c>
      <c r="B1" s="62" t="n"/>
      <c r="C1" s="18" t="n">
        <v>1</v>
      </c>
      <c r="D1" s="18" t="n">
        <v>2</v>
      </c>
      <c r="E1" s="18" t="n">
        <v>3</v>
      </c>
      <c r="F1" s="18" t="n">
        <v>4</v>
      </c>
      <c r="G1" s="18" t="n">
        <v>5</v>
      </c>
      <c r="H1" s="18" t="n">
        <v>6</v>
      </c>
      <c r="I1" s="18" t="n">
        <v>7</v>
      </c>
      <c r="J1" s="18" t="n">
        <v>8</v>
      </c>
      <c r="K1" s="18" t="n">
        <v>9</v>
      </c>
      <c r="L1" s="18" t="n">
        <v>10</v>
      </c>
      <c r="M1" s="18" t="n">
        <v>11</v>
      </c>
      <c r="N1" s="18" t="n">
        <v>12</v>
      </c>
      <c r="O1" s="18" t="n">
        <v>13</v>
      </c>
      <c r="P1" s="18" t="n">
        <v>14</v>
      </c>
      <c r="Q1" s="18" t="n">
        <v>15</v>
      </c>
      <c r="R1" s="18" t="n">
        <v>16</v>
      </c>
      <c r="S1" s="18" t="n">
        <v>17</v>
      </c>
      <c r="T1" s="18" t="n">
        <v>18</v>
      </c>
      <c r="U1" s="18" t="n">
        <v>19</v>
      </c>
      <c r="V1" s="18" t="n">
        <v>20</v>
      </c>
      <c r="W1" s="18" t="n">
        <v>21</v>
      </c>
      <c r="X1" s="18" t="n">
        <v>22</v>
      </c>
      <c r="Y1" s="18" t="n">
        <v>23</v>
      </c>
      <c r="Z1" s="18" t="n">
        <v>24</v>
      </c>
      <c r="AA1" s="18" t="n">
        <v>25</v>
      </c>
      <c r="AB1" s="18" t="n">
        <v>26</v>
      </c>
      <c r="AC1" s="18" t="n">
        <v>27</v>
      </c>
      <c r="AD1" s="18" t="n">
        <v>28</v>
      </c>
      <c r="AE1" s="18" t="n">
        <v>29</v>
      </c>
      <c r="AF1" s="18" t="n">
        <v>30</v>
      </c>
      <c r="AG1" s="18" t="n">
        <v>31</v>
      </c>
      <c r="AH1" s="18" t="n">
        <v>32</v>
      </c>
      <c r="AI1" s="18" t="n">
        <v>33</v>
      </c>
      <c r="AJ1" s="18" t="n">
        <v>34</v>
      </c>
      <c r="AK1" s="18" t="n">
        <v>35</v>
      </c>
      <c r="AL1" s="18" t="n">
        <v>36</v>
      </c>
      <c r="AM1" s="18" t="n">
        <v>37</v>
      </c>
      <c r="AN1" s="18" t="n">
        <v>38</v>
      </c>
      <c r="AO1" s="18" t="n">
        <v>39</v>
      </c>
      <c r="AP1" s="18" t="n">
        <v>40</v>
      </c>
      <c r="AQ1" s="18" t="n">
        <v>41</v>
      </c>
      <c r="AR1" s="18" t="n">
        <v>42</v>
      </c>
      <c r="AS1" s="18" t="n">
        <v>43</v>
      </c>
      <c r="AT1" s="18" t="n">
        <v>44</v>
      </c>
      <c r="AU1" s="18" t="n">
        <v>45</v>
      </c>
      <c r="AV1" s="18" t="n">
        <v>46</v>
      </c>
      <c r="AW1" s="18" t="n">
        <v>47</v>
      </c>
      <c r="AX1" s="18" t="n">
        <v>48</v>
      </c>
      <c r="AY1" s="18" t="n">
        <v>49</v>
      </c>
      <c r="AZ1" s="18" t="n">
        <v>50</v>
      </c>
      <c r="BA1" s="18" t="n">
        <v>51</v>
      </c>
      <c r="BB1" s="18" t="n">
        <v>52</v>
      </c>
      <c r="BC1" s="18" t="n">
        <v>53</v>
      </c>
      <c r="BD1" s="18" t="n">
        <v>54</v>
      </c>
      <c r="BE1" s="18" t="n">
        <v>55</v>
      </c>
      <c r="BF1" s="18" t="n">
        <v>56</v>
      </c>
      <c r="BG1" s="18" t="n">
        <v>57</v>
      </c>
      <c r="BH1" s="18" t="n">
        <v>58</v>
      </c>
      <c r="BI1" s="18" t="n">
        <v>59</v>
      </c>
      <c r="BJ1" s="18" t="n">
        <v>60</v>
      </c>
      <c r="BK1" s="18" t="n">
        <v>61</v>
      </c>
      <c r="BL1" s="18" t="n">
        <v>62</v>
      </c>
      <c r="BM1" s="18" t="n">
        <v>63</v>
      </c>
      <c r="BN1" s="18" t="n">
        <v>64</v>
      </c>
      <c r="BO1" s="18" t="n">
        <v>65</v>
      </c>
      <c r="BP1" s="18" t="n">
        <v>66</v>
      </c>
      <c r="BQ1" s="18" t="n">
        <v>67</v>
      </c>
      <c r="BR1" s="18" t="n">
        <v>68</v>
      </c>
      <c r="BS1" s="18" t="n">
        <v>69</v>
      </c>
      <c r="BT1" s="18" t="n">
        <v>70</v>
      </c>
      <c r="BU1" s="18" t="n">
        <v>71</v>
      </c>
      <c r="BV1" s="18" t="n">
        <v>72</v>
      </c>
      <c r="BW1" s="18" t="n">
        <v>73</v>
      </c>
      <c r="BX1" s="18" t="n">
        <v>74</v>
      </c>
      <c r="BY1" s="18" t="n">
        <v>75</v>
      </c>
      <c r="BZ1" s="18" t="n">
        <v>76</v>
      </c>
      <c r="CA1" s="18" t="n">
        <v>77</v>
      </c>
      <c r="CB1" s="18" t="n">
        <v>78</v>
      </c>
      <c r="CC1" s="18" t="n">
        <v>79</v>
      </c>
      <c r="CD1" s="18" t="n">
        <v>80</v>
      </c>
      <c r="CE1" s="18" t="n">
        <v>81</v>
      </c>
      <c r="CF1" s="18" t="n">
        <v>82</v>
      </c>
      <c r="CG1" s="18" t="n">
        <v>83</v>
      </c>
      <c r="CH1" s="18" t="n">
        <v>84</v>
      </c>
      <c r="CI1" s="18" t="n">
        <v>85</v>
      </c>
      <c r="CJ1" s="18" t="n">
        <v>86</v>
      </c>
      <c r="CK1" s="18" t="n">
        <v>87</v>
      </c>
      <c r="CL1" s="18" t="n">
        <v>88</v>
      </c>
      <c r="CM1" s="18" t="n">
        <v>89</v>
      </c>
      <c r="CN1" s="2" t="n"/>
      <c r="CO1" s="2" t="n"/>
      <c r="CP1" s="2" t="n"/>
      <c r="CQ1" s="2" t="n"/>
      <c r="CR1" s="2" t="n"/>
      <c r="CS1" s="2" t="n"/>
      <c r="CT1" s="2" t="n"/>
      <c r="CU1" s="2" t="n"/>
      <c r="CV1" s="2" t="n"/>
      <c r="CW1" s="2" t="n"/>
      <c r="CX1" s="2" t="n"/>
      <c r="CY1" s="2" t="n"/>
      <c r="CZ1" s="2" t="n"/>
      <c r="DA1" s="2" t="n"/>
      <c r="DB1" s="2" t="n"/>
      <c r="DC1" s="2" t="n"/>
      <c r="DD1" s="2" t="n"/>
      <c r="DE1" s="2" t="n"/>
      <c r="DF1" s="2" t="n"/>
      <c r="DG1" s="2" t="n"/>
      <c r="DH1" s="2" t="n"/>
    </row>
    <row r="2" ht="12.75" customFormat="1" customHeight="1" s="76">
      <c r="A2" s="76" t="inlineStr">
        <is>
          <t>id scene</t>
        </is>
      </c>
      <c r="B2" s="62" t="n"/>
      <c r="C2" s="65" t="n"/>
      <c r="D2" s="65" t="n"/>
      <c r="E2" s="65" t="n"/>
      <c r="F2" s="65" t="n"/>
      <c r="G2" s="65" t="n"/>
      <c r="H2" s="65" t="n"/>
      <c r="I2" s="65" t="n"/>
      <c r="J2" s="65" t="n"/>
      <c r="K2" s="65" t="n"/>
      <c r="L2" s="65" t="n"/>
      <c r="M2" s="65" t="n"/>
      <c r="N2" s="65" t="n"/>
      <c r="O2" s="58" t="n"/>
      <c r="P2" s="58" t="n"/>
      <c r="Q2" s="58" t="n"/>
      <c r="R2" s="58" t="n"/>
      <c r="S2" s="58" t="n"/>
      <c r="T2" s="58" t="n"/>
      <c r="U2" s="58" t="n"/>
      <c r="V2" s="58" t="n"/>
      <c r="W2" s="58" t="n"/>
      <c r="X2" s="58" t="n"/>
      <c r="Y2" s="58" t="n"/>
      <c r="Z2" s="58" t="n"/>
      <c r="AA2" s="58" t="n"/>
      <c r="AB2" s="58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</row>
    <row r="3" ht="12.75" customFormat="1" customHeight="1" s="76">
      <c r="A3" s="21" t="inlineStr">
        <is>
          <t>id shot</t>
        </is>
      </c>
      <c r="B3" s="62" t="n"/>
      <c r="C3" s="65" t="n"/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58" t="n"/>
      <c r="P3" s="58" t="n"/>
      <c r="Q3" s="58" t="n"/>
      <c r="R3" s="58" t="n"/>
      <c r="S3" s="58" t="n"/>
      <c r="T3" s="58" t="n"/>
      <c r="U3" s="58" t="n"/>
      <c r="V3" s="58" t="n"/>
      <c r="W3" s="58" t="n"/>
      <c r="X3" s="58" t="n"/>
      <c r="Y3" s="58" t="n"/>
      <c r="Z3" s="58" t="n"/>
      <c r="AA3" s="58" t="n"/>
      <c r="AB3" s="58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  <c r="CW3" s="2" t="n"/>
      <c r="CX3" s="2" t="n"/>
      <c r="CY3" s="2" t="n"/>
      <c r="CZ3" s="2" t="n"/>
      <c r="DA3" s="2" t="n"/>
      <c r="DB3" s="2" t="n"/>
      <c r="DC3" s="2" t="n"/>
      <c r="DD3" s="2" t="n"/>
      <c r="DE3" s="2" t="n"/>
      <c r="DF3" s="2" t="n"/>
      <c r="DG3" s="2" t="n"/>
      <c r="DH3" s="2" t="n"/>
    </row>
    <row r="4" ht="12.75" customFormat="1" customHeight="1" s="76">
      <c r="A4" s="76" t="inlineStr">
        <is>
          <t>номер кадра</t>
        </is>
      </c>
      <c r="B4" s="62" t="n"/>
      <c r="C4" s="66" t="n"/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58" t="n"/>
      <c r="P4" s="58" t="n"/>
      <c r="Q4" s="58" t="n"/>
      <c r="R4" s="58" t="n"/>
      <c r="S4" s="58" t="n"/>
      <c r="T4" s="58" t="n"/>
      <c r="U4" s="58" t="n"/>
      <c r="V4" s="58" t="n"/>
      <c r="W4" s="58" t="n"/>
      <c r="X4" s="58" t="n"/>
      <c r="Y4" s="58" t="n"/>
      <c r="Z4" s="58" t="n"/>
      <c r="AA4" s="58" t="n"/>
      <c r="AB4" s="58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  <c r="CX4" s="2" t="n"/>
      <c r="CY4" s="2" t="n"/>
      <c r="CZ4" s="2" t="n"/>
      <c r="DA4" s="2" t="n"/>
      <c r="DB4" s="2" t="n"/>
      <c r="DC4" s="2" t="n"/>
      <c r="DD4" s="2" t="n"/>
      <c r="DE4" s="2" t="n"/>
      <c r="DF4" s="2" t="n"/>
      <c r="DG4" s="2" t="n"/>
      <c r="DH4" s="2" t="n"/>
    </row>
    <row r="5" ht="12.75" customFormat="1" customHeight="1" s="76">
      <c r="A5" s="76" t="inlineStr">
        <is>
          <t>предыдущий кадр</t>
        </is>
      </c>
      <c r="B5" s="62" t="n"/>
      <c r="C5" s="66" t="n"/>
      <c r="D5" s="66" t="n"/>
      <c r="E5" s="66" t="n"/>
      <c r="F5" s="66" t="n"/>
      <c r="G5" s="66" t="n"/>
      <c r="H5" s="66" t="n"/>
      <c r="I5" s="66" t="n"/>
      <c r="J5" s="66" t="n"/>
      <c r="K5" s="66" t="n"/>
      <c r="L5" s="66" t="n"/>
      <c r="M5" s="66" t="n"/>
      <c r="N5" s="66" t="n"/>
      <c r="O5" s="58" t="n"/>
      <c r="P5" s="58" t="n"/>
      <c r="Q5" s="58" t="n"/>
      <c r="R5" s="58" t="n"/>
      <c r="S5" s="58" t="n"/>
      <c r="T5" s="58" t="n"/>
      <c r="U5" s="58" t="n"/>
      <c r="V5" s="58" t="n"/>
      <c r="W5" s="58" t="n"/>
      <c r="X5" s="58" t="n"/>
      <c r="Y5" s="58" t="n"/>
      <c r="Z5" s="58" t="n"/>
      <c r="AA5" s="58" t="n"/>
      <c r="AB5" s="58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  <c r="CW5" s="2" t="n"/>
      <c r="CX5" s="2" t="n"/>
      <c r="CY5" s="2" t="n"/>
      <c r="CZ5" s="2" t="n"/>
      <c r="DA5" s="2" t="n"/>
      <c r="DB5" s="2" t="n"/>
      <c r="DC5" s="2" t="n"/>
      <c r="DD5" s="2" t="n"/>
      <c r="DE5" s="2" t="n"/>
      <c r="DF5" s="2" t="n"/>
      <c r="DG5" s="2" t="n"/>
      <c r="DH5" s="2" t="n"/>
    </row>
    <row r="6" ht="12.75" customFormat="1" customHeight="1" s="76">
      <c r="A6" s="21" t="inlineStr">
        <is>
          <t>следующий кадр</t>
        </is>
      </c>
      <c r="B6" s="62" t="n"/>
      <c r="C6" s="65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58" t="n"/>
      <c r="P6" s="58" t="n"/>
      <c r="Q6" s="58" t="n"/>
      <c r="R6" s="58" t="n"/>
      <c r="S6" s="58" t="n"/>
      <c r="T6" s="58" t="n"/>
      <c r="U6" s="58" t="n"/>
      <c r="V6" s="58" t="n"/>
      <c r="W6" s="58" t="n"/>
      <c r="X6" s="58" t="n"/>
      <c r="Y6" s="58" t="n"/>
      <c r="Z6" s="58" t="n"/>
      <c r="AA6" s="58" t="n"/>
      <c r="AB6" s="58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  <c r="BA6" s="2" t="n"/>
      <c r="BB6" s="2" t="n"/>
      <c r="BC6" s="2" t="n"/>
      <c r="BD6" s="2" t="n"/>
      <c r="BE6" s="2" t="n"/>
      <c r="BF6" s="2" t="n"/>
      <c r="BG6" s="2" t="n"/>
      <c r="BH6" s="2" t="n"/>
      <c r="BI6" s="2" t="n"/>
      <c r="BJ6" s="2" t="n"/>
      <c r="BK6" s="2" t="n"/>
      <c r="BL6" s="2" t="n"/>
      <c r="BM6" s="2" t="n"/>
      <c r="BN6" s="2" t="n"/>
      <c r="BO6" s="2" t="n"/>
      <c r="BP6" s="2" t="n"/>
      <c r="BQ6" s="2" t="n"/>
      <c r="BR6" s="2" t="n"/>
      <c r="BS6" s="2" t="n"/>
      <c r="BT6" s="2" t="n"/>
      <c r="BU6" s="2" t="n"/>
      <c r="BV6" s="2" t="n"/>
      <c r="BW6" s="2" t="n"/>
      <c r="BX6" s="2" t="n"/>
      <c r="BY6" s="2" t="n"/>
      <c r="BZ6" s="2" t="n"/>
      <c r="CA6" s="2" t="n"/>
      <c r="CB6" s="2" t="n"/>
      <c r="CC6" s="2" t="n"/>
      <c r="CD6" s="2" t="n"/>
      <c r="CE6" s="2" t="n"/>
      <c r="CF6" s="2" t="n"/>
      <c r="CG6" s="2" t="n"/>
      <c r="CH6" s="2" t="n"/>
      <c r="CI6" s="2" t="n"/>
      <c r="CJ6" s="2" t="n"/>
      <c r="CK6" s="2" t="n"/>
      <c r="CL6" s="2" t="n"/>
      <c r="CM6" s="2" t="n"/>
      <c r="CN6" s="2" t="n"/>
      <c r="CO6" s="2" t="n"/>
      <c r="CP6" s="2" t="n"/>
      <c r="CQ6" s="2" t="n"/>
      <c r="CR6" s="2" t="n"/>
      <c r="CS6" s="2" t="n"/>
      <c r="CT6" s="2" t="n"/>
      <c r="CU6" s="2" t="n"/>
      <c r="CV6" s="2" t="n"/>
      <c r="CW6" s="2" t="n"/>
      <c r="CX6" s="2" t="n"/>
      <c r="CY6" s="2" t="n"/>
      <c r="CZ6" s="2" t="n"/>
      <c r="DA6" s="2" t="n"/>
      <c r="DB6" s="2" t="n"/>
      <c r="DC6" s="2" t="n"/>
      <c r="DD6" s="2" t="n"/>
      <c r="DE6" s="2" t="n"/>
      <c r="DF6" s="2" t="n"/>
      <c r="DG6" s="2" t="n"/>
      <c r="DH6" s="2" t="n"/>
    </row>
    <row r="7" ht="12.75" customFormat="1" customHeight="1" s="76">
      <c r="A7" s="76" t="inlineStr">
        <is>
          <t>фон</t>
        </is>
      </c>
      <c r="B7" s="76" t="n"/>
      <c r="C7" s="58" t="n"/>
      <c r="D7" s="66" t="n"/>
      <c r="E7" s="66" t="n"/>
      <c r="F7" s="66" t="n"/>
      <c r="G7" s="66" t="n"/>
      <c r="H7" s="66" t="n"/>
      <c r="I7" s="66" t="n"/>
      <c r="J7" s="66" t="n"/>
      <c r="K7" s="66" t="n"/>
      <c r="L7" s="66" t="n"/>
      <c r="M7" s="66" t="n"/>
      <c r="N7" s="66" t="n"/>
      <c r="O7" s="58" t="n"/>
      <c r="P7" s="58" t="n"/>
      <c r="Q7" s="58" t="n"/>
      <c r="R7" s="58" t="n"/>
      <c r="S7" s="58" t="n"/>
      <c r="T7" s="58" t="n"/>
      <c r="U7" s="58" t="n"/>
      <c r="V7" s="58" t="n"/>
      <c r="W7" s="58" t="n"/>
      <c r="X7" s="58" t="n"/>
      <c r="Y7" s="58" t="n"/>
      <c r="Z7" s="58" t="n"/>
      <c r="AA7" s="58" t="n"/>
      <c r="AB7" s="58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  <c r="BA7" s="2" t="n"/>
      <c r="BB7" s="2" t="n"/>
      <c r="BC7" s="2" t="n"/>
      <c r="BD7" s="2" t="n"/>
      <c r="BE7" s="2" t="n"/>
      <c r="BF7" s="2" t="n"/>
      <c r="BG7" s="2" t="n"/>
      <c r="BH7" s="2" t="n"/>
      <c r="BI7" s="2" t="n"/>
      <c r="BJ7" s="2" t="n"/>
      <c r="BK7" s="2" t="n"/>
      <c r="BL7" s="2" t="n"/>
      <c r="BM7" s="2" t="n"/>
      <c r="BN7" s="2" t="n"/>
      <c r="BO7" s="2" t="n"/>
      <c r="BP7" s="2" t="n"/>
      <c r="BQ7" s="2" t="n"/>
      <c r="BR7" s="2" t="n"/>
      <c r="BS7" s="2" t="n"/>
      <c r="BT7" s="2" t="n"/>
      <c r="BU7" s="2" t="n"/>
      <c r="BV7" s="2" t="n"/>
      <c r="BW7" s="2" t="n"/>
      <c r="BX7" s="2" t="n"/>
      <c r="BY7" s="2" t="n"/>
      <c r="BZ7" s="2" t="n"/>
      <c r="CA7" s="2" t="n"/>
      <c r="CB7" s="2" t="n"/>
      <c r="CC7" s="2" t="n"/>
      <c r="CD7" s="2" t="n"/>
      <c r="CE7" s="2" t="n"/>
      <c r="CF7" s="2" t="n"/>
      <c r="CG7" s="2" t="n"/>
      <c r="CH7" s="2" t="n"/>
      <c r="CI7" s="2" t="n"/>
      <c r="CJ7" s="2" t="n"/>
      <c r="CK7" s="2" t="n"/>
      <c r="CL7" s="2" t="n"/>
      <c r="CM7" s="2" t="n"/>
      <c r="CN7" s="2" t="n"/>
      <c r="CO7" s="2" t="n"/>
      <c r="CP7" s="2" t="n"/>
      <c r="CQ7" s="2" t="n"/>
      <c r="CR7" s="2" t="n"/>
      <c r="CS7" s="2" t="n"/>
      <c r="CT7" s="2" t="n"/>
      <c r="CU7" s="2" t="n"/>
      <c r="CV7" s="2" t="n"/>
      <c r="CW7" s="2" t="n"/>
      <c r="CX7" s="2" t="n"/>
      <c r="CY7" s="2" t="n"/>
      <c r="CZ7" s="2" t="n"/>
      <c r="DA7" s="2" t="n"/>
      <c r="DB7" s="2" t="n"/>
      <c r="DC7" s="2" t="n"/>
      <c r="DD7" s="2" t="n"/>
      <c r="DE7" s="2" t="n"/>
      <c r="DF7" s="2" t="n"/>
      <c r="DG7" s="2" t="n"/>
      <c r="DH7" s="2" t="n"/>
    </row>
    <row r="8" ht="12.75" customFormat="1" customHeight="1" s="76">
      <c r="A8" s="76" t="inlineStr">
        <is>
          <t>персонажи</t>
        </is>
      </c>
      <c r="B8" s="62" t="n"/>
      <c r="C8" s="66" t="n"/>
      <c r="D8" s="66" t="n"/>
      <c r="E8" s="66" t="n"/>
      <c r="F8" s="66" t="n"/>
      <c r="G8" s="66" t="n"/>
      <c r="H8" s="66" t="n"/>
      <c r="I8" s="66" t="n"/>
      <c r="J8" s="66" t="n"/>
      <c r="K8" s="66" t="n"/>
      <c r="L8" s="66" t="n"/>
      <c r="M8" s="66" t="n"/>
      <c r="N8" s="66" t="n"/>
      <c r="O8" s="58" t="n"/>
      <c r="P8" s="58" t="n"/>
      <c r="Q8" s="58" t="n"/>
      <c r="R8" s="58" t="n"/>
      <c r="S8" s="58" t="n"/>
      <c r="T8" s="58" t="n"/>
      <c r="U8" s="58" t="n"/>
      <c r="V8" s="58" t="n"/>
      <c r="W8" s="58" t="n"/>
      <c r="X8" s="58" t="n"/>
      <c r="Y8" s="58" t="n"/>
      <c r="Z8" s="58" t="n"/>
      <c r="AA8" s="58" t="n"/>
      <c r="AB8" s="58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  <c r="BA8" s="2" t="n"/>
      <c r="BB8" s="2" t="n"/>
      <c r="BC8" s="2" t="n"/>
      <c r="BD8" s="2" t="n"/>
      <c r="BE8" s="2" t="n"/>
      <c r="BF8" s="2" t="n"/>
      <c r="BG8" s="2" t="n"/>
      <c r="BH8" s="2" t="n"/>
      <c r="BI8" s="2" t="n"/>
      <c r="BJ8" s="2" t="n"/>
      <c r="BK8" s="2" t="n"/>
      <c r="BL8" s="2" t="n"/>
      <c r="BM8" s="2" t="n"/>
      <c r="BN8" s="2" t="n"/>
      <c r="BO8" s="2" t="n"/>
      <c r="BP8" s="2" t="n"/>
      <c r="BQ8" s="2" t="n"/>
      <c r="BR8" s="2" t="n"/>
      <c r="BS8" s="2" t="n"/>
      <c r="BT8" s="2" t="n"/>
      <c r="BU8" s="2" t="n"/>
      <c r="BV8" s="2" t="n"/>
      <c r="BW8" s="2" t="n"/>
      <c r="BX8" s="2" t="n"/>
      <c r="BY8" s="2" t="n"/>
      <c r="BZ8" s="2" t="n"/>
      <c r="CA8" s="2" t="n"/>
      <c r="CB8" s="2" t="n"/>
      <c r="CC8" s="2" t="n"/>
      <c r="CD8" s="2" t="n"/>
      <c r="CE8" s="2" t="n"/>
      <c r="CF8" s="2" t="n"/>
      <c r="CG8" s="2" t="n"/>
      <c r="CH8" s="2" t="n"/>
      <c r="CI8" s="2" t="n"/>
      <c r="CJ8" s="2" t="n"/>
      <c r="CK8" s="2" t="n"/>
      <c r="CL8" s="2" t="n"/>
      <c r="CM8" s="2" t="n"/>
      <c r="CN8" s="2" t="n"/>
      <c r="CO8" s="2" t="n"/>
      <c r="CP8" s="2" t="n"/>
      <c r="CQ8" s="2" t="n"/>
      <c r="CR8" s="2" t="n"/>
      <c r="CS8" s="2" t="n"/>
      <c r="CT8" s="2" t="n"/>
      <c r="CU8" s="2" t="n"/>
      <c r="CV8" s="2" t="n"/>
      <c r="CW8" s="2" t="n"/>
      <c r="CX8" s="2" t="n"/>
      <c r="CY8" s="2" t="n"/>
      <c r="CZ8" s="2" t="n"/>
      <c r="DA8" s="2" t="n"/>
      <c r="DB8" s="2" t="n"/>
      <c r="DC8" s="2" t="n"/>
      <c r="DD8" s="2" t="n"/>
      <c r="DE8" s="2" t="n"/>
      <c r="DF8" s="2" t="n"/>
      <c r="DG8" s="2" t="n"/>
      <c r="DH8" s="2" t="n"/>
    </row>
    <row r="9" ht="12.75" customFormat="1" customHeight="1" s="76">
      <c r="A9" s="76" t="inlineStr">
        <is>
          <t>предметы</t>
        </is>
      </c>
      <c r="B9" s="62" t="n"/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/>
      <c r="M9" s="66" t="n"/>
      <c r="N9" s="66" t="n"/>
      <c r="O9" s="58" t="n"/>
      <c r="P9" s="58" t="n"/>
      <c r="Q9" s="58" t="n"/>
      <c r="R9" s="58" t="n"/>
      <c r="S9" s="58" t="n"/>
      <c r="T9" s="58" t="n"/>
      <c r="U9" s="58" t="n"/>
      <c r="V9" s="58" t="n"/>
      <c r="W9" s="58" t="n"/>
      <c r="X9" s="58" t="n"/>
      <c r="Y9" s="58" t="n"/>
      <c r="Z9" s="58" t="n"/>
      <c r="AA9" s="58" t="n"/>
      <c r="AB9" s="58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  <c r="BA9" s="2" t="n"/>
      <c r="BB9" s="2" t="n"/>
      <c r="BC9" s="2" t="n"/>
      <c r="BD9" s="2" t="n"/>
      <c r="BE9" s="2" t="n"/>
      <c r="BF9" s="2" t="n"/>
      <c r="BG9" s="2" t="n"/>
      <c r="BH9" s="2" t="n"/>
      <c r="BI9" s="2" t="n"/>
      <c r="BJ9" s="2" t="n"/>
      <c r="BK9" s="2" t="n"/>
      <c r="BL9" s="2" t="n"/>
      <c r="BM9" s="2" t="n"/>
      <c r="BN9" s="2" t="n"/>
      <c r="BO9" s="2" t="n"/>
      <c r="BP9" s="2" t="n"/>
      <c r="BQ9" s="2" t="n"/>
      <c r="BR9" s="2" t="n"/>
      <c r="BS9" s="2" t="n"/>
      <c r="BT9" s="2" t="n"/>
      <c r="BU9" s="2" t="n"/>
      <c r="BV9" s="2" t="n"/>
      <c r="BW9" s="2" t="n"/>
      <c r="BX9" s="2" t="n"/>
      <c r="BY9" s="2" t="n"/>
      <c r="BZ9" s="2" t="n"/>
      <c r="CA9" s="2" t="n"/>
      <c r="CB9" s="2" t="n"/>
      <c r="CC9" s="2" t="n"/>
      <c r="CD9" s="2" t="n"/>
      <c r="CE9" s="2" t="n"/>
      <c r="CF9" s="2" t="n"/>
      <c r="CG9" s="2" t="n"/>
      <c r="CH9" s="2" t="n"/>
      <c r="CI9" s="2" t="n"/>
      <c r="CJ9" s="2" t="n"/>
      <c r="CK9" s="2" t="n"/>
      <c r="CL9" s="2" t="n"/>
      <c r="CM9" s="2" t="n"/>
      <c r="CN9" s="2" t="n"/>
      <c r="CO9" s="2" t="n"/>
      <c r="CP9" s="2" t="n"/>
      <c r="CQ9" s="2" t="n"/>
      <c r="CR9" s="2" t="n"/>
      <c r="CS9" s="2" t="n"/>
      <c r="CT9" s="2" t="n"/>
      <c r="CU9" s="2" t="n"/>
      <c r="CV9" s="2" t="n"/>
      <c r="CW9" s="2" t="n"/>
      <c r="CX9" s="2" t="n"/>
      <c r="CY9" s="2" t="n"/>
      <c r="CZ9" s="2" t="n"/>
      <c r="DA9" s="2" t="n"/>
      <c r="DB9" s="2" t="n"/>
      <c r="DC9" s="2" t="n"/>
      <c r="DD9" s="2" t="n"/>
      <c r="DE9" s="2" t="n"/>
      <c r="DF9" s="2" t="n"/>
      <c r="DG9" s="2" t="n"/>
      <c r="DH9" s="2" t="n"/>
    </row>
    <row r="10" ht="38.1" customFormat="1" customHeight="1" s="76">
      <c r="A10" s="76" t="inlineStr">
        <is>
          <t>действие</t>
        </is>
      </c>
      <c r="B10" s="62" t="n"/>
      <c r="C10" s="66" t="n"/>
      <c r="D10" s="66" t="n"/>
      <c r="E10" s="66" t="n"/>
      <c r="F10" s="66" t="n"/>
      <c r="G10" s="66" t="n"/>
      <c r="H10" s="66" t="n"/>
      <c r="I10" s="66" t="n"/>
      <c r="J10" s="66" t="n"/>
      <c r="K10" s="66" t="n"/>
      <c r="L10" s="66" t="n"/>
      <c r="M10" s="66" t="n"/>
      <c r="N10" s="66" t="n"/>
      <c r="O10" s="58" t="n"/>
      <c r="P10" s="58" t="n"/>
      <c r="Q10" s="58" t="n"/>
      <c r="R10" s="58" t="n"/>
      <c r="S10" s="58" t="n"/>
      <c r="T10" s="58" t="n"/>
      <c r="U10" s="58" t="n"/>
      <c r="V10" s="58" t="n"/>
      <c r="W10" s="58" t="n"/>
      <c r="X10" s="58" t="n"/>
      <c r="Y10" s="58" t="n"/>
      <c r="Z10" s="58" t="n"/>
      <c r="AA10" s="58" t="n"/>
      <c r="AB10" s="58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  <c r="BA10" s="2" t="n"/>
      <c r="BB10" s="2" t="n"/>
      <c r="BC10" s="2" t="n"/>
      <c r="BD10" s="2" t="n"/>
      <c r="BE10" s="2" t="n"/>
      <c r="BF10" s="2" t="n"/>
      <c r="BG10" s="2" t="n"/>
      <c r="BH10" s="2" t="n"/>
      <c r="BI10" s="2" t="n"/>
      <c r="BJ10" s="2" t="n"/>
      <c r="BK10" s="2" t="n"/>
      <c r="BL10" s="2" t="n"/>
      <c r="BM10" s="2" t="n"/>
      <c r="BN10" s="2" t="n"/>
      <c r="BO10" s="2" t="n"/>
      <c r="BP10" s="2" t="n"/>
      <c r="BQ10" s="2" t="n"/>
      <c r="BR10" s="2" t="n"/>
      <c r="BS10" s="2" t="n"/>
      <c r="BT10" s="2" t="n"/>
      <c r="BU10" s="2" t="n"/>
      <c r="BV10" s="2" t="n"/>
      <c r="BW10" s="2" t="n"/>
      <c r="BX10" s="2" t="n"/>
      <c r="BY10" s="2" t="n"/>
      <c r="BZ10" s="2" t="n"/>
      <c r="CA10" s="2" t="n"/>
      <c r="CB10" s="2" t="n"/>
      <c r="CC10" s="2" t="n"/>
      <c r="CD10" s="2" t="n"/>
      <c r="CE10" s="2" t="n"/>
      <c r="CF10" s="2" t="n"/>
      <c r="CG10" s="2" t="n"/>
      <c r="CH10" s="2" t="n"/>
      <c r="CI10" s="2" t="n"/>
      <c r="CJ10" s="2" t="n"/>
      <c r="CK10" s="2" t="n"/>
      <c r="CL10" s="2" t="n"/>
      <c r="CM10" s="2" t="n"/>
      <c r="CN10" s="2" t="n"/>
      <c r="CO10" s="2" t="n"/>
      <c r="CP10" s="2" t="n"/>
      <c r="CQ10" s="2" t="n"/>
      <c r="CR10" s="2" t="n"/>
      <c r="CS10" s="2" t="n"/>
      <c r="CT10" s="2" t="n"/>
      <c r="CU10" s="2" t="n"/>
      <c r="CV10" s="2" t="n"/>
      <c r="CW10" s="2" t="n"/>
      <c r="CX10" s="2" t="n"/>
      <c r="CY10" s="2" t="n"/>
      <c r="CZ10" s="2" t="n"/>
      <c r="DA10" s="2" t="n"/>
      <c r="DB10" s="2" t="n"/>
      <c r="DC10" s="2" t="n"/>
      <c r="DD10" s="2" t="n"/>
      <c r="DE10" s="2" t="n"/>
      <c r="DF10" s="2" t="n"/>
      <c r="DG10" s="2" t="n"/>
      <c r="DH10" s="2" t="n"/>
    </row>
    <row r="11" ht="54" customFormat="1" customHeight="1" s="76">
      <c r="A11" s="76" t="inlineStr">
        <is>
          <t>описание кадра</t>
        </is>
      </c>
      <c r="B11" s="62" t="n"/>
      <c r="C11" s="66" t="n"/>
      <c r="D11" s="66" t="n"/>
      <c r="E11" s="66" t="n"/>
      <c r="F11" s="66" t="n"/>
      <c r="G11" s="66" t="n"/>
      <c r="H11" s="66" t="n"/>
      <c r="I11" s="66" t="n"/>
      <c r="J11" s="66" t="n"/>
      <c r="K11" s="66" t="n"/>
      <c r="L11" s="66" t="n"/>
      <c r="M11" s="66" t="n"/>
      <c r="N11" s="66" t="n"/>
      <c r="O11" s="58" t="n"/>
      <c r="P11" s="58" t="n"/>
      <c r="Q11" s="58" t="n"/>
      <c r="R11" s="58" t="n"/>
      <c r="S11" s="58" t="n"/>
      <c r="T11" s="58" t="n"/>
      <c r="U11" s="58" t="n"/>
      <c r="V11" s="58" t="n"/>
      <c r="W11" s="58" t="n"/>
      <c r="X11" s="58" t="n"/>
      <c r="Y11" s="58" t="n"/>
      <c r="Z11" s="58" t="n"/>
      <c r="AA11" s="58" t="n"/>
      <c r="AB11" s="58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/>
      <c r="BB11" s="2" t="n"/>
      <c r="BC11" s="2" t="n"/>
      <c r="BD11" s="2" t="n"/>
      <c r="BE11" s="2" t="n"/>
      <c r="BF11" s="2" t="n"/>
      <c r="BG11" s="2" t="n"/>
      <c r="BH11" s="2" t="n"/>
      <c r="BI11" s="2" t="n"/>
      <c r="BJ11" s="2" t="n"/>
      <c r="BK11" s="2" t="n"/>
      <c r="BL11" s="2" t="n"/>
      <c r="BM11" s="2" t="n"/>
      <c r="BN11" s="2" t="n"/>
      <c r="BO11" s="2" t="n"/>
      <c r="BP11" s="2" t="n"/>
      <c r="BQ11" s="2" t="n"/>
      <c r="BR11" s="2" t="n"/>
      <c r="BS11" s="2" t="n"/>
      <c r="BT11" s="2" t="n"/>
      <c r="BU11" s="2" t="n"/>
      <c r="BV11" s="2" t="n"/>
      <c r="BW11" s="2" t="n"/>
      <c r="BX11" s="2" t="n"/>
      <c r="BY11" s="2" t="n"/>
      <c r="BZ11" s="2" t="n"/>
      <c r="CA11" s="2" t="n"/>
      <c r="CB11" s="2" t="n"/>
      <c r="CC11" s="2" t="n"/>
      <c r="CD11" s="2" t="n"/>
      <c r="CE11" s="2" t="n"/>
      <c r="CF11" s="2" t="n"/>
      <c r="CG11" s="2" t="n"/>
      <c r="CH11" s="2" t="n"/>
      <c r="CI11" s="2" t="n"/>
      <c r="CJ11" s="2" t="n"/>
      <c r="CK11" s="2" t="n"/>
      <c r="CL11" s="2" t="n"/>
      <c r="CM11" s="2" t="n"/>
      <c r="CN11" s="2" t="n"/>
      <c r="CO11" s="2" t="n"/>
      <c r="CP11" s="2" t="n"/>
      <c r="CQ11" s="2" t="n"/>
      <c r="CR11" s="2" t="n"/>
      <c r="CS11" s="2" t="n"/>
      <c r="CT11" s="2" t="n"/>
      <c r="CU11" s="2" t="n"/>
      <c r="CV11" s="2" t="n"/>
      <c r="CW11" s="2" t="n"/>
      <c r="CX11" s="2" t="n"/>
      <c r="CY11" s="2" t="n"/>
      <c r="CZ11" s="2" t="n"/>
      <c r="DA11" s="2" t="n"/>
      <c r="DB11" s="2" t="n"/>
      <c r="DC11" s="2" t="n"/>
      <c r="DD11" s="2" t="n"/>
      <c r="DE11" s="2" t="n"/>
      <c r="DF11" s="2" t="n"/>
      <c r="DG11" s="2" t="n"/>
      <c r="DH11" s="2" t="n"/>
    </row>
    <row r="12" ht="38.1" customFormat="1" customHeight="1" s="76">
      <c r="A12" s="76" t="inlineStr">
        <is>
          <t>логика перехода</t>
        </is>
      </c>
      <c r="B12" s="62" t="n"/>
      <c r="C12" s="66" t="n"/>
      <c r="D12" s="66" t="n"/>
      <c r="E12" s="66" t="n"/>
      <c r="F12" s="66" t="n"/>
      <c r="G12" s="66" t="n"/>
      <c r="H12" s="66" t="n"/>
      <c r="I12" s="66" t="n"/>
      <c r="J12" s="66" t="n"/>
      <c r="K12" s="66" t="n"/>
      <c r="L12" s="66" t="n"/>
      <c r="M12" s="66" t="n"/>
      <c r="N12" s="66" t="n"/>
      <c r="O12" s="58" t="n"/>
      <c r="P12" s="58" t="n"/>
      <c r="Q12" s="58" t="n"/>
      <c r="R12" s="58" t="n"/>
      <c r="S12" s="58" t="n"/>
      <c r="T12" s="58" t="n"/>
      <c r="U12" s="58" t="n"/>
      <c r="V12" s="58" t="n"/>
      <c r="W12" s="58" t="n"/>
      <c r="X12" s="58" t="n"/>
      <c r="Y12" s="58" t="n"/>
      <c r="Z12" s="58" t="n"/>
      <c r="AA12" s="58" t="n"/>
      <c r="AB12" s="58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  <c r="BA12" s="2" t="n"/>
      <c r="BB12" s="2" t="n"/>
      <c r="BC12" s="2" t="n"/>
      <c r="BD12" s="2" t="n"/>
      <c r="BE12" s="2" t="n"/>
      <c r="BF12" s="2" t="n"/>
      <c r="BG12" s="2" t="n"/>
      <c r="BH12" s="2" t="n"/>
      <c r="BI12" s="2" t="n"/>
      <c r="BJ12" s="2" t="n"/>
      <c r="BK12" s="2" t="n"/>
      <c r="BL12" s="2" t="n"/>
      <c r="BM12" s="2" t="n"/>
      <c r="BN12" s="2" t="n"/>
      <c r="BO12" s="2" t="n"/>
      <c r="BP12" s="2" t="n"/>
      <c r="BQ12" s="2" t="n"/>
      <c r="BR12" s="2" t="n"/>
      <c r="BS12" s="2" t="n"/>
      <c r="BT12" s="2" t="n"/>
      <c r="BU12" s="2" t="n"/>
      <c r="BV12" s="2" t="n"/>
      <c r="BW12" s="2" t="n"/>
      <c r="BX12" s="2" t="n"/>
      <c r="BY12" s="2" t="n"/>
      <c r="BZ12" s="2" t="n"/>
      <c r="CA12" s="2" t="n"/>
      <c r="CB12" s="2" t="n"/>
      <c r="CC12" s="2" t="n"/>
      <c r="CD12" s="2" t="n"/>
      <c r="CE12" s="2" t="n"/>
      <c r="CF12" s="2" t="n"/>
      <c r="CG12" s="2" t="n"/>
      <c r="CH12" s="2" t="n"/>
      <c r="CI12" s="2" t="n"/>
      <c r="CJ12" s="2" t="n"/>
      <c r="CK12" s="2" t="n"/>
      <c r="CL12" s="2" t="n"/>
      <c r="CM12" s="2" t="n"/>
      <c r="CN12" s="2" t="n"/>
      <c r="CO12" s="2" t="n"/>
      <c r="CP12" s="2" t="n"/>
      <c r="CQ12" s="2" t="n"/>
      <c r="CR12" s="2" t="n"/>
      <c r="CS12" s="2" t="n"/>
      <c r="CT12" s="2" t="n"/>
      <c r="CU12" s="2" t="n"/>
      <c r="CV12" s="2" t="n"/>
      <c r="CW12" s="2" t="n"/>
      <c r="CX12" s="2" t="n"/>
      <c r="CY12" s="2" t="n"/>
      <c r="CZ12" s="2" t="n"/>
      <c r="DA12" s="2" t="n"/>
      <c r="DB12" s="2" t="n"/>
      <c r="DC12" s="2" t="n"/>
      <c r="DD12" s="2" t="n"/>
      <c r="DE12" s="2" t="n"/>
      <c r="DF12" s="2" t="n"/>
      <c r="DG12" s="2" t="n"/>
      <c r="DH12" s="2" t="n"/>
    </row>
    <row r="13" ht="38.1" customFormat="1" customHeight="1" s="76">
      <c r="A13" s="76" t="inlineStr">
        <is>
          <t>заметки по консистенции</t>
        </is>
      </c>
      <c r="B13" s="62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66" t="n"/>
      <c r="L13" s="66" t="n"/>
      <c r="M13" s="66" t="n"/>
      <c r="N13" s="66" t="n"/>
      <c r="O13" s="58" t="n"/>
      <c r="P13" s="58" t="n"/>
      <c r="Q13" s="58" t="n"/>
      <c r="R13" s="58" t="n"/>
      <c r="S13" s="58" t="n"/>
      <c r="T13" s="58" t="n"/>
      <c r="U13" s="58" t="n"/>
      <c r="V13" s="58" t="n"/>
      <c r="W13" s="58" t="n"/>
      <c r="X13" s="58" t="n"/>
      <c r="Y13" s="58" t="n"/>
      <c r="Z13" s="58" t="n"/>
      <c r="AA13" s="58" t="n"/>
      <c r="AB13" s="58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  <c r="CW13" s="2" t="n"/>
      <c r="CX13" s="2" t="n"/>
      <c r="CY13" s="2" t="n"/>
      <c r="CZ13" s="2" t="n"/>
      <c r="DA13" s="2" t="n"/>
      <c r="DB13" s="2" t="n"/>
      <c r="DC13" s="2" t="n"/>
      <c r="DD13" s="2" t="n"/>
      <c r="DE13" s="2" t="n"/>
      <c r="DF13" s="2" t="n"/>
      <c r="DG13" s="2" t="n"/>
      <c r="DH13" s="2" t="n"/>
    </row>
    <row r="14" ht="12.75" customFormat="1" customHeight="1" s="76">
      <c r="A14" s="76" t="inlineStr">
        <is>
          <t>статус</t>
        </is>
      </c>
      <c r="B14" s="62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  <c r="M14" s="66" t="n"/>
      <c r="N14" s="66" t="n"/>
      <c r="O14" s="58" t="n"/>
      <c r="P14" s="58" t="n"/>
      <c r="Q14" s="58" t="n"/>
      <c r="R14" s="58" t="n"/>
      <c r="S14" s="58" t="n"/>
      <c r="T14" s="58" t="n"/>
      <c r="U14" s="58" t="n"/>
      <c r="V14" s="58" t="n"/>
      <c r="W14" s="58" t="n"/>
      <c r="X14" s="58" t="n"/>
      <c r="Y14" s="58" t="n"/>
      <c r="Z14" s="58" t="n"/>
      <c r="AA14" s="58" t="n"/>
      <c r="AB14" s="58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  <c r="CW14" s="2" t="n"/>
      <c r="CX14" s="2" t="n"/>
      <c r="CY14" s="2" t="n"/>
      <c r="CZ14" s="2" t="n"/>
      <c r="DA14" s="2" t="n"/>
      <c r="DB14" s="2" t="n"/>
      <c r="DC14" s="2" t="n"/>
      <c r="DD14" s="2" t="n"/>
      <c r="DE14" s="2" t="n"/>
      <c r="DF14" s="2" t="n"/>
      <c r="DG14" s="2" t="n"/>
      <c r="DH14" s="2" t="n"/>
    </row>
    <row r="15" ht="12.75" customFormat="1" customHeight="1" s="76">
      <c r="A15" s="76" t="n"/>
      <c r="B15" s="62" t="n"/>
      <c r="C15" s="66" t="n"/>
      <c r="D15" s="66" t="n"/>
      <c r="E15" s="66" t="n"/>
      <c r="F15" s="66" t="n"/>
      <c r="G15" s="66" t="n"/>
      <c r="H15" s="66" t="n"/>
      <c r="I15" s="66" t="n"/>
      <c r="J15" s="66" t="n"/>
      <c r="K15" s="66" t="n"/>
      <c r="L15" s="66" t="n"/>
      <c r="M15" s="66" t="n"/>
      <c r="N15" s="66" t="n"/>
      <c r="O15" s="58" t="n"/>
      <c r="P15" s="58" t="n"/>
      <c r="Q15" s="58" t="n"/>
      <c r="R15" s="58" t="n"/>
      <c r="S15" s="58" t="n"/>
      <c r="T15" s="58" t="n"/>
      <c r="U15" s="58" t="n"/>
      <c r="V15" s="58" t="n"/>
      <c r="W15" s="58" t="n"/>
      <c r="X15" s="58" t="n"/>
      <c r="Y15" s="58" t="n"/>
      <c r="Z15" s="58" t="n"/>
      <c r="AA15" s="58" t="n"/>
      <c r="AB15" s="58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  <c r="CW15" s="2" t="n"/>
      <c r="CX15" s="2" t="n"/>
      <c r="CY15" s="2" t="n"/>
      <c r="CZ15" s="2" t="n"/>
      <c r="DA15" s="2" t="n"/>
      <c r="DB15" s="2" t="n"/>
      <c r="DC15" s="2" t="n"/>
      <c r="DD15" s="2" t="n"/>
      <c r="DE15" s="2" t="n"/>
      <c r="DF15" s="2" t="n"/>
      <c r="DG15" s="2" t="n"/>
      <c r="DH15" s="2" t="n"/>
    </row>
    <row r="16" ht="12.75" customFormat="1" customHeight="1" s="76">
      <c r="A16" s="76" t="inlineStr">
        <is>
          <t>кадр2</t>
        </is>
      </c>
      <c r="B16" s="19" t="n"/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8" t="n"/>
      <c r="M16" s="66" t="n"/>
      <c r="N16" s="66" t="n"/>
      <c r="O16" s="58" t="n"/>
      <c r="P16" s="58" t="n"/>
      <c r="Q16" s="58" t="n"/>
      <c r="R16" s="58" t="n"/>
      <c r="S16" s="58" t="n"/>
      <c r="T16" s="58" t="n"/>
      <c r="U16" s="58" t="n"/>
      <c r="V16" s="58" t="n"/>
      <c r="W16" s="58" t="n"/>
      <c r="X16" s="58" t="n"/>
      <c r="Y16" s="58" t="n"/>
      <c r="Z16" s="58" t="n"/>
      <c r="AA16" s="58" t="n"/>
      <c r="AB16" s="58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  <c r="BA16" s="2" t="n"/>
      <c r="BB16" s="2" t="n"/>
      <c r="BC16" s="2" t="n"/>
      <c r="BD16" s="2" t="n"/>
      <c r="BE16" s="2" t="n"/>
      <c r="BF16" s="2" t="n"/>
      <c r="BG16" s="2" t="n"/>
      <c r="BH16" s="2" t="n"/>
      <c r="BI16" s="2" t="n"/>
      <c r="BJ16" s="2" t="n"/>
      <c r="BK16" s="2" t="n"/>
      <c r="BL16" s="2" t="n"/>
      <c r="BM16" s="2" t="n"/>
      <c r="BN16" s="2" t="n"/>
      <c r="BO16" s="2" t="n"/>
      <c r="BP16" s="2" t="n"/>
      <c r="BQ16" s="2" t="n"/>
      <c r="BR16" s="2" t="n"/>
      <c r="BS16" s="2" t="n"/>
      <c r="BT16" s="2" t="n"/>
      <c r="BU16" s="2" t="n"/>
      <c r="BV16" s="2" t="n"/>
      <c r="BW16" s="2" t="n"/>
      <c r="BX16" s="2" t="n"/>
      <c r="BY16" s="2" t="n"/>
      <c r="BZ16" s="2" t="n"/>
      <c r="CA16" s="2" t="n"/>
      <c r="CB16" s="2" t="n"/>
      <c r="CC16" s="2" t="n"/>
      <c r="CD16" s="2" t="n"/>
      <c r="CE16" s="2" t="n"/>
      <c r="CF16" s="2" t="n"/>
      <c r="CG16" s="2" t="n"/>
      <c r="CH16" s="2" t="n"/>
      <c r="CI16" s="2" t="n"/>
      <c r="CJ16" s="2" t="n"/>
      <c r="CK16" s="2" t="n"/>
      <c r="CL16" s="2" t="n"/>
      <c r="CM16" s="2" t="n"/>
      <c r="CN16" s="2" t="n"/>
      <c r="CO16" s="2" t="n"/>
      <c r="CP16" s="2" t="n"/>
      <c r="CQ16" s="2" t="n"/>
      <c r="CR16" s="2" t="n"/>
      <c r="CS16" s="2" t="n"/>
      <c r="CT16" s="2" t="n"/>
      <c r="CU16" s="2" t="n"/>
      <c r="CV16" s="2" t="n"/>
      <c r="CW16" s="2" t="n"/>
      <c r="CX16" s="2" t="n"/>
      <c r="CY16" s="2" t="n"/>
      <c r="CZ16" s="2" t="n"/>
      <c r="DA16" s="2" t="n"/>
      <c r="DB16" s="2" t="n"/>
      <c r="DC16" s="2" t="n"/>
      <c r="DD16" s="2" t="n"/>
      <c r="DE16" s="2" t="n"/>
      <c r="DF16" s="2" t="n"/>
      <c r="DG16" s="2" t="n"/>
      <c r="DH16" s="2" t="n"/>
    </row>
    <row r="17" ht="12.75" customFormat="1" customHeight="1" s="76">
      <c r="A17" s="76" t="inlineStr">
        <is>
          <t>id scene</t>
        </is>
      </c>
      <c r="B17" s="62" t="n"/>
      <c r="C17" s="66" t="n"/>
      <c r="D17" s="66" t="n"/>
      <c r="E17" s="66" t="n"/>
      <c r="F17" s="66" t="n"/>
      <c r="G17" s="66" t="n"/>
      <c r="H17" s="66" t="n"/>
      <c r="I17" s="66" t="n"/>
      <c r="J17" s="66" t="n"/>
      <c r="K17" s="66" t="n"/>
      <c r="L17" s="69" t="n"/>
      <c r="M17" s="66" t="n"/>
      <c r="N17" s="66" t="n"/>
      <c r="O17" s="58" t="n"/>
      <c r="P17" s="58" t="n"/>
      <c r="Q17" s="58" t="n"/>
      <c r="R17" s="58" t="n"/>
      <c r="S17" s="58" t="n"/>
      <c r="T17" s="58" t="n"/>
      <c r="U17" s="58" t="n"/>
      <c r="V17" s="58" t="n"/>
      <c r="W17" s="58" t="n"/>
      <c r="X17" s="58" t="n"/>
      <c r="Y17" s="58" t="n"/>
      <c r="Z17" s="58" t="n"/>
      <c r="AA17" s="58" t="n"/>
      <c r="AB17" s="58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  <c r="BA17" s="2" t="n"/>
      <c r="BB17" s="2" t="n"/>
      <c r="BC17" s="2" t="n"/>
      <c r="BD17" s="2" t="n"/>
      <c r="BE17" s="2" t="n"/>
      <c r="BF17" s="2" t="n"/>
      <c r="BG17" s="2" t="n"/>
      <c r="BH17" s="2" t="n"/>
      <c r="BI17" s="2" t="n"/>
      <c r="BJ17" s="2" t="n"/>
      <c r="BK17" s="2" t="n"/>
      <c r="BL17" s="2" t="n"/>
      <c r="BM17" s="2" t="n"/>
      <c r="BN17" s="2" t="n"/>
      <c r="BO17" s="2" t="n"/>
      <c r="BP17" s="2" t="n"/>
      <c r="BQ17" s="2" t="n"/>
      <c r="BR17" s="2" t="n"/>
      <c r="BS17" s="2" t="n"/>
      <c r="BT17" s="2" t="n"/>
      <c r="BU17" s="2" t="n"/>
      <c r="BV17" s="2" t="n"/>
      <c r="BW17" s="2" t="n"/>
      <c r="BX17" s="2" t="n"/>
      <c r="BY17" s="2" t="n"/>
      <c r="BZ17" s="2" t="n"/>
      <c r="CA17" s="2" t="n"/>
      <c r="CB17" s="2" t="n"/>
      <c r="CC17" s="2" t="n"/>
      <c r="CD17" s="2" t="n"/>
      <c r="CE17" s="2" t="n"/>
      <c r="CF17" s="2" t="n"/>
      <c r="CG17" s="2" t="n"/>
      <c r="CH17" s="2" t="n"/>
      <c r="CI17" s="2" t="n"/>
      <c r="CJ17" s="2" t="n"/>
      <c r="CK17" s="2" t="n"/>
      <c r="CL17" s="2" t="n"/>
      <c r="CM17" s="2" t="n"/>
      <c r="CN17" s="2" t="n"/>
      <c r="CO17" s="2" t="n"/>
      <c r="CP17" s="2" t="n"/>
      <c r="CQ17" s="2" t="n"/>
      <c r="CR17" s="2" t="n"/>
      <c r="CS17" s="2" t="n"/>
      <c r="CT17" s="2" t="n"/>
      <c r="CU17" s="2" t="n"/>
      <c r="CV17" s="2" t="n"/>
      <c r="CW17" s="2" t="n"/>
      <c r="CX17" s="2" t="n"/>
      <c r="CY17" s="2" t="n"/>
      <c r="CZ17" s="2" t="n"/>
      <c r="DA17" s="2" t="n"/>
      <c r="DB17" s="2" t="n"/>
      <c r="DC17" s="2" t="n"/>
      <c r="DD17" s="2" t="n"/>
      <c r="DE17" s="2" t="n"/>
      <c r="DF17" s="2" t="n"/>
      <c r="DG17" s="2" t="n"/>
      <c r="DH17" s="2" t="n"/>
    </row>
    <row r="18" ht="12.75" customFormat="1" customHeight="1" s="76">
      <c r="A18" s="21" t="inlineStr">
        <is>
          <t>id shot</t>
        </is>
      </c>
      <c r="B18" s="62" t="n"/>
      <c r="C18" s="66" t="n"/>
      <c r="D18" s="66" t="n"/>
      <c r="E18" s="66" t="n"/>
      <c r="F18" s="66" t="n"/>
      <c r="G18" s="66" t="n"/>
      <c r="H18" s="66" t="n"/>
      <c r="I18" s="66" t="n"/>
      <c r="J18" s="66" t="n"/>
      <c r="K18" s="66" t="n"/>
      <c r="L18" s="69" t="n"/>
      <c r="M18" s="66" t="n"/>
      <c r="N18" s="66" t="n"/>
      <c r="O18" s="58" t="n"/>
      <c r="P18" s="58" t="n"/>
      <c r="Q18" s="58" t="n"/>
      <c r="R18" s="58" t="n"/>
      <c r="S18" s="58" t="n"/>
      <c r="T18" s="58" t="n"/>
      <c r="U18" s="58" t="n"/>
      <c r="V18" s="58" t="n"/>
      <c r="W18" s="58" t="n"/>
      <c r="X18" s="58" t="n"/>
      <c r="Y18" s="58" t="n"/>
      <c r="Z18" s="58" t="n"/>
      <c r="AA18" s="58" t="n"/>
      <c r="AB18" s="58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  <c r="BA18" s="2" t="n"/>
      <c r="BB18" s="2" t="n"/>
      <c r="BC18" s="2" t="n"/>
      <c r="BD18" s="2" t="n"/>
      <c r="BE18" s="2" t="n"/>
      <c r="BF18" s="2" t="n"/>
      <c r="BG18" s="2" t="n"/>
      <c r="BH18" s="2" t="n"/>
      <c r="BI18" s="2" t="n"/>
      <c r="BJ18" s="2" t="n"/>
      <c r="BK18" s="2" t="n"/>
      <c r="BL18" s="2" t="n"/>
      <c r="BM18" s="2" t="n"/>
      <c r="BN18" s="2" t="n"/>
      <c r="BO18" s="2" t="n"/>
      <c r="BP18" s="2" t="n"/>
      <c r="BQ18" s="2" t="n"/>
      <c r="BR18" s="2" t="n"/>
      <c r="BS18" s="2" t="n"/>
      <c r="BT18" s="2" t="n"/>
      <c r="BU18" s="2" t="n"/>
      <c r="BV18" s="2" t="n"/>
      <c r="BW18" s="2" t="n"/>
      <c r="BX18" s="2" t="n"/>
      <c r="BY18" s="2" t="n"/>
      <c r="BZ18" s="2" t="n"/>
      <c r="CA18" s="2" t="n"/>
      <c r="CB18" s="2" t="n"/>
      <c r="CC18" s="2" t="n"/>
      <c r="CD18" s="2" t="n"/>
      <c r="CE18" s="2" t="n"/>
      <c r="CF18" s="2" t="n"/>
      <c r="CG18" s="2" t="n"/>
      <c r="CH18" s="2" t="n"/>
      <c r="CI18" s="2" t="n"/>
      <c r="CJ18" s="2" t="n"/>
      <c r="CK18" s="2" t="n"/>
      <c r="CL18" s="2" t="n"/>
      <c r="CM18" s="2" t="n"/>
      <c r="CN18" s="2" t="n"/>
      <c r="CO18" s="2" t="n"/>
      <c r="CP18" s="2" t="n"/>
      <c r="CQ18" s="2" t="n"/>
      <c r="CR18" s="2" t="n"/>
      <c r="CS18" s="2" t="n"/>
      <c r="CT18" s="2" t="n"/>
      <c r="CU18" s="2" t="n"/>
      <c r="CV18" s="2" t="n"/>
      <c r="CW18" s="2" t="n"/>
      <c r="CX18" s="2" t="n"/>
      <c r="CY18" s="2" t="n"/>
      <c r="CZ18" s="2" t="n"/>
      <c r="DA18" s="2" t="n"/>
      <c r="DB18" s="2" t="n"/>
      <c r="DC18" s="2" t="n"/>
      <c r="DD18" s="2" t="n"/>
      <c r="DE18" s="2" t="n"/>
      <c r="DF18" s="2" t="n"/>
      <c r="DG18" s="2" t="n"/>
      <c r="DH18" s="2" t="n"/>
    </row>
    <row r="19" ht="12.75" customFormat="1" customHeight="1" s="76">
      <c r="A19" s="76" t="inlineStr">
        <is>
          <t>номер кадра</t>
        </is>
      </c>
      <c r="B19" s="62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  <c r="L19" s="69" t="n"/>
      <c r="M19" s="66" t="n"/>
      <c r="N19" s="66" t="n"/>
      <c r="O19" s="58" t="n"/>
      <c r="P19" s="58" t="n"/>
      <c r="Q19" s="58" t="n"/>
      <c r="R19" s="58" t="n"/>
      <c r="S19" s="58" t="n"/>
      <c r="T19" s="58" t="n"/>
      <c r="U19" s="58" t="n"/>
      <c r="V19" s="58" t="n"/>
      <c r="W19" s="58" t="n"/>
      <c r="X19" s="58" t="n"/>
      <c r="Y19" s="58" t="n"/>
      <c r="Z19" s="58" t="n"/>
      <c r="AA19" s="58" t="n"/>
      <c r="AB19" s="58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  <c r="BA19" s="2" t="n"/>
      <c r="BB19" s="2" t="n"/>
      <c r="BC19" s="2" t="n"/>
      <c r="BD19" s="2" t="n"/>
      <c r="BE19" s="2" t="n"/>
      <c r="BF19" s="2" t="n"/>
      <c r="BG19" s="2" t="n"/>
      <c r="BH19" s="2" t="n"/>
      <c r="BI19" s="2" t="n"/>
      <c r="BJ19" s="2" t="n"/>
      <c r="BK19" s="2" t="n"/>
      <c r="BL19" s="2" t="n"/>
      <c r="BM19" s="2" t="n"/>
      <c r="BN19" s="2" t="n"/>
      <c r="BO19" s="2" t="n"/>
      <c r="BP19" s="2" t="n"/>
      <c r="BQ19" s="2" t="n"/>
      <c r="BR19" s="2" t="n"/>
      <c r="BS19" s="2" t="n"/>
      <c r="BT19" s="2" t="n"/>
      <c r="BU19" s="2" t="n"/>
      <c r="BV19" s="2" t="n"/>
      <c r="BW19" s="2" t="n"/>
      <c r="BX19" s="2" t="n"/>
      <c r="BY19" s="2" t="n"/>
      <c r="BZ19" s="2" t="n"/>
      <c r="CA19" s="2" t="n"/>
      <c r="CB19" s="2" t="n"/>
      <c r="CC19" s="2" t="n"/>
      <c r="CD19" s="2" t="n"/>
      <c r="CE19" s="2" t="n"/>
      <c r="CF19" s="2" t="n"/>
      <c r="CG19" s="2" t="n"/>
      <c r="CH19" s="2" t="n"/>
      <c r="CI19" s="2" t="n"/>
      <c r="CJ19" s="2" t="n"/>
      <c r="CK19" s="2" t="n"/>
      <c r="CL19" s="2" t="n"/>
      <c r="CM19" s="2" t="n"/>
      <c r="CN19" s="2" t="n"/>
      <c r="CO19" s="2" t="n"/>
      <c r="CP19" s="2" t="n"/>
      <c r="CQ19" s="2" t="n"/>
      <c r="CR19" s="2" t="n"/>
      <c r="CS19" s="2" t="n"/>
      <c r="CT19" s="2" t="n"/>
      <c r="CU19" s="2" t="n"/>
      <c r="CV19" s="2" t="n"/>
      <c r="CW19" s="2" t="n"/>
      <c r="CX19" s="2" t="n"/>
      <c r="CY19" s="2" t="n"/>
      <c r="CZ19" s="2" t="n"/>
      <c r="DA19" s="2" t="n"/>
      <c r="DB19" s="2" t="n"/>
      <c r="DC19" s="2" t="n"/>
      <c r="DD19" s="2" t="n"/>
      <c r="DE19" s="2" t="n"/>
      <c r="DF19" s="2" t="n"/>
      <c r="DG19" s="2" t="n"/>
      <c r="DH19" s="2" t="n"/>
    </row>
    <row r="20" ht="12.75" customFormat="1" customHeight="1" s="76">
      <c r="A20" s="76" t="inlineStr">
        <is>
          <t>предыдущий кадр</t>
        </is>
      </c>
      <c r="B20" s="7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9" t="n"/>
      <c r="M20" s="66" t="n"/>
      <c r="N20" s="66" t="n"/>
      <c r="O20" s="58" t="n"/>
      <c r="P20" s="58" t="n"/>
      <c r="Q20" s="58" t="n"/>
      <c r="R20" s="58" t="n"/>
      <c r="S20" s="58" t="n"/>
      <c r="T20" s="58" t="n"/>
      <c r="U20" s="58" t="n"/>
      <c r="V20" s="58" t="n"/>
      <c r="W20" s="58" t="n"/>
      <c r="X20" s="58" t="n"/>
      <c r="Y20" s="58" t="n"/>
      <c r="Z20" s="58" t="n"/>
      <c r="AA20" s="58" t="n"/>
      <c r="AB20" s="58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  <c r="BA20" s="2" t="n"/>
      <c r="BB20" s="2" t="n"/>
      <c r="BC20" s="2" t="n"/>
      <c r="BD20" s="2" t="n"/>
      <c r="BE20" s="2" t="n"/>
      <c r="BF20" s="2" t="n"/>
      <c r="BG20" s="2" t="n"/>
      <c r="BH20" s="2" t="n"/>
      <c r="BI20" s="2" t="n"/>
      <c r="BJ20" s="2" t="n"/>
      <c r="BK20" s="2" t="n"/>
      <c r="BL20" s="2" t="n"/>
      <c r="BM20" s="2" t="n"/>
      <c r="BN20" s="2" t="n"/>
      <c r="BO20" s="2" t="n"/>
      <c r="BP20" s="2" t="n"/>
      <c r="BQ20" s="2" t="n"/>
      <c r="BR20" s="2" t="n"/>
      <c r="BS20" s="2" t="n"/>
      <c r="BT20" s="2" t="n"/>
      <c r="BU20" s="2" t="n"/>
      <c r="BV20" s="2" t="n"/>
      <c r="BW20" s="2" t="n"/>
      <c r="BX20" s="2" t="n"/>
      <c r="BY20" s="2" t="n"/>
      <c r="BZ20" s="2" t="n"/>
      <c r="CA20" s="2" t="n"/>
      <c r="CB20" s="2" t="n"/>
      <c r="CC20" s="2" t="n"/>
      <c r="CD20" s="2" t="n"/>
      <c r="CE20" s="2" t="n"/>
      <c r="CF20" s="2" t="n"/>
      <c r="CG20" s="2" t="n"/>
      <c r="CH20" s="2" t="n"/>
      <c r="CI20" s="2" t="n"/>
      <c r="CJ20" s="2" t="n"/>
      <c r="CK20" s="2" t="n"/>
      <c r="CL20" s="2" t="n"/>
      <c r="CM20" s="2" t="n"/>
      <c r="CN20" s="2" t="n"/>
      <c r="CO20" s="2" t="n"/>
      <c r="CP20" s="2" t="n"/>
      <c r="CQ20" s="2" t="n"/>
      <c r="CR20" s="2" t="n"/>
      <c r="CS20" s="2" t="n"/>
      <c r="CT20" s="2" t="n"/>
      <c r="CU20" s="2" t="n"/>
      <c r="CV20" s="2" t="n"/>
      <c r="CW20" s="2" t="n"/>
      <c r="CX20" s="2" t="n"/>
      <c r="CY20" s="2" t="n"/>
      <c r="CZ20" s="2" t="n"/>
      <c r="DA20" s="2" t="n"/>
      <c r="DB20" s="2" t="n"/>
      <c r="DC20" s="2" t="n"/>
      <c r="DD20" s="2" t="n"/>
      <c r="DE20" s="2" t="n"/>
      <c r="DF20" s="2" t="n"/>
      <c r="DG20" s="2" t="n"/>
      <c r="DH20" s="2" t="n"/>
    </row>
    <row r="21" ht="12.75" customFormat="1" customHeight="1" s="76">
      <c r="A21" s="21" t="inlineStr">
        <is>
          <t>следующий кадр</t>
        </is>
      </c>
      <c r="B21" s="62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9" t="n"/>
      <c r="M21" s="66" t="n"/>
      <c r="N21" s="66" t="n"/>
      <c r="O21" s="58" t="n"/>
      <c r="P21" s="58" t="n"/>
      <c r="Q21" s="58" t="n"/>
      <c r="R21" s="58" t="n"/>
      <c r="S21" s="58" t="n"/>
      <c r="T21" s="58" t="n"/>
      <c r="U21" s="58" t="n"/>
      <c r="V21" s="58" t="n"/>
      <c r="W21" s="58" t="n"/>
      <c r="X21" s="58" t="n"/>
      <c r="Y21" s="58" t="n"/>
      <c r="Z21" s="58" t="n"/>
      <c r="AA21" s="58" t="n"/>
      <c r="AB21" s="58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/>
      <c r="BB21" s="2" t="n"/>
      <c r="BC21" s="2" t="n"/>
      <c r="BD21" s="2" t="n"/>
      <c r="BE21" s="2" t="n"/>
      <c r="BF21" s="2" t="n"/>
      <c r="BG21" s="2" t="n"/>
      <c r="BH21" s="2" t="n"/>
      <c r="BI21" s="2" t="n"/>
      <c r="BJ21" s="2" t="n"/>
      <c r="BK21" s="2" t="n"/>
      <c r="BL21" s="2" t="n"/>
      <c r="BM21" s="2" t="n"/>
      <c r="BN21" s="2" t="n"/>
      <c r="BO21" s="2" t="n"/>
      <c r="BP21" s="2" t="n"/>
      <c r="BQ21" s="2" t="n"/>
      <c r="BR21" s="2" t="n"/>
      <c r="BS21" s="2" t="n"/>
      <c r="BT21" s="2" t="n"/>
      <c r="BU21" s="2" t="n"/>
      <c r="BV21" s="2" t="n"/>
      <c r="BW21" s="2" t="n"/>
      <c r="BX21" s="2" t="n"/>
      <c r="BY21" s="2" t="n"/>
      <c r="BZ21" s="2" t="n"/>
      <c r="CA21" s="2" t="n"/>
      <c r="CB21" s="2" t="n"/>
      <c r="CC21" s="2" t="n"/>
      <c r="CD21" s="2" t="n"/>
      <c r="CE21" s="2" t="n"/>
      <c r="CF21" s="2" t="n"/>
      <c r="CG21" s="2" t="n"/>
      <c r="CH21" s="2" t="n"/>
      <c r="CI21" s="2" t="n"/>
      <c r="CJ21" s="2" t="n"/>
      <c r="CK21" s="2" t="n"/>
      <c r="CL21" s="2" t="n"/>
      <c r="CM21" s="2" t="n"/>
      <c r="CN21" s="2" t="n"/>
      <c r="CO21" s="2" t="n"/>
      <c r="CP21" s="2" t="n"/>
      <c r="CQ21" s="2" t="n"/>
      <c r="CR21" s="2" t="n"/>
      <c r="CS21" s="2" t="n"/>
      <c r="CT21" s="2" t="n"/>
      <c r="CU21" s="2" t="n"/>
      <c r="CV21" s="2" t="n"/>
      <c r="CW21" s="2" t="n"/>
      <c r="CX21" s="2" t="n"/>
      <c r="CY21" s="2" t="n"/>
      <c r="CZ21" s="2" t="n"/>
      <c r="DA21" s="2" t="n"/>
      <c r="DB21" s="2" t="n"/>
      <c r="DC21" s="2" t="n"/>
      <c r="DD21" s="2" t="n"/>
      <c r="DE21" s="2" t="n"/>
      <c r="DF21" s="2" t="n"/>
      <c r="DG21" s="2" t="n"/>
      <c r="DH21" s="2" t="n"/>
    </row>
    <row r="22" ht="12.75" customFormat="1" customHeight="1" s="76">
      <c r="A22" s="76" t="inlineStr">
        <is>
          <t>фон</t>
        </is>
      </c>
      <c r="B22" s="76" t="n"/>
      <c r="C22" s="66" t="n"/>
      <c r="D22" s="66" t="n"/>
      <c r="E22" s="66" t="n"/>
      <c r="F22" s="66" t="n"/>
      <c r="G22" s="66" t="n"/>
      <c r="H22" s="66" t="n"/>
      <c r="I22" s="66" t="n"/>
      <c r="J22" s="66" t="n"/>
      <c r="K22" s="66" t="n"/>
      <c r="L22" s="69" t="n"/>
      <c r="M22" s="66" t="n"/>
      <c r="N22" s="66" t="n"/>
      <c r="O22" s="58" t="n"/>
      <c r="P22" s="58" t="n"/>
      <c r="Q22" s="58" t="n"/>
      <c r="R22" s="58" t="n"/>
      <c r="S22" s="58" t="n"/>
      <c r="T22" s="58" t="n"/>
      <c r="U22" s="58" t="n"/>
      <c r="V22" s="58" t="n"/>
      <c r="W22" s="58" t="n"/>
      <c r="X22" s="58" t="n"/>
      <c r="Y22" s="58" t="n"/>
      <c r="Z22" s="58" t="n"/>
      <c r="AA22" s="58" t="n"/>
      <c r="AB22" s="58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  <c r="BA22" s="2" t="n"/>
      <c r="BB22" s="2" t="n"/>
      <c r="BC22" s="2" t="n"/>
      <c r="BD22" s="2" t="n"/>
      <c r="BE22" s="2" t="n"/>
      <c r="BF22" s="2" t="n"/>
      <c r="BG22" s="2" t="n"/>
      <c r="BH22" s="2" t="n"/>
      <c r="BI22" s="2" t="n"/>
      <c r="BJ22" s="2" t="n"/>
      <c r="BK22" s="2" t="n"/>
      <c r="BL22" s="2" t="n"/>
      <c r="BM22" s="2" t="n"/>
      <c r="BN22" s="2" t="n"/>
      <c r="BO22" s="2" t="n"/>
      <c r="BP22" s="2" t="n"/>
      <c r="BQ22" s="2" t="n"/>
      <c r="BR22" s="2" t="n"/>
      <c r="BS22" s="2" t="n"/>
      <c r="BT22" s="2" t="n"/>
      <c r="BU22" s="2" t="n"/>
      <c r="BV22" s="2" t="n"/>
      <c r="BW22" s="2" t="n"/>
      <c r="BX22" s="2" t="n"/>
      <c r="BY22" s="2" t="n"/>
      <c r="BZ22" s="2" t="n"/>
      <c r="CA22" s="2" t="n"/>
      <c r="CB22" s="2" t="n"/>
      <c r="CC22" s="2" t="n"/>
      <c r="CD22" s="2" t="n"/>
      <c r="CE22" s="2" t="n"/>
      <c r="CF22" s="2" t="n"/>
      <c r="CG22" s="2" t="n"/>
      <c r="CH22" s="2" t="n"/>
      <c r="CI22" s="2" t="n"/>
      <c r="CJ22" s="2" t="n"/>
      <c r="CK22" s="2" t="n"/>
      <c r="CL22" s="2" t="n"/>
      <c r="CM22" s="2" t="n"/>
      <c r="CN22" s="2" t="n"/>
      <c r="CO22" s="2" t="n"/>
      <c r="CP22" s="2" t="n"/>
      <c r="CQ22" s="2" t="n"/>
      <c r="CR22" s="2" t="n"/>
      <c r="CS22" s="2" t="n"/>
      <c r="CT22" s="2" t="n"/>
      <c r="CU22" s="2" t="n"/>
      <c r="CV22" s="2" t="n"/>
      <c r="CW22" s="2" t="n"/>
      <c r="CX22" s="2" t="n"/>
      <c r="CY22" s="2" t="n"/>
      <c r="CZ22" s="2" t="n"/>
      <c r="DA22" s="2" t="n"/>
      <c r="DB22" s="2" t="n"/>
      <c r="DC22" s="2" t="n"/>
      <c r="DD22" s="2" t="n"/>
      <c r="DE22" s="2" t="n"/>
      <c r="DF22" s="2" t="n"/>
      <c r="DG22" s="2" t="n"/>
      <c r="DH22" s="2" t="n"/>
    </row>
    <row r="23" ht="12.75" customFormat="1" customHeight="1" s="76">
      <c r="A23" s="76" t="inlineStr">
        <is>
          <t>персонажи</t>
        </is>
      </c>
      <c r="B23" s="62" t="n"/>
      <c r="C23" s="66" t="n"/>
      <c r="D23" s="66" t="n"/>
      <c r="E23" s="66" t="n"/>
      <c r="F23" s="66" t="n"/>
      <c r="G23" s="66" t="n"/>
      <c r="H23" s="66" t="n"/>
      <c r="I23" s="66" t="n"/>
      <c r="J23" s="66" t="n"/>
      <c r="K23" s="66" t="n"/>
      <c r="L23" s="69" t="n"/>
      <c r="M23" s="66" t="n"/>
      <c r="N23" s="66" t="n"/>
      <c r="O23" s="58" t="n"/>
      <c r="P23" s="58" t="n"/>
      <c r="Q23" s="58" t="n"/>
      <c r="R23" s="58" t="n"/>
      <c r="S23" s="58" t="n"/>
      <c r="T23" s="58" t="n"/>
      <c r="U23" s="58" t="n"/>
      <c r="V23" s="58" t="n"/>
      <c r="W23" s="58" t="n"/>
      <c r="X23" s="58" t="n"/>
      <c r="Y23" s="58" t="n"/>
      <c r="Z23" s="58" t="n"/>
      <c r="AA23" s="58" t="n"/>
      <c r="AB23" s="58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  <c r="AV23" s="2" t="n"/>
      <c r="AW23" s="2" t="n"/>
      <c r="AX23" s="2" t="n"/>
      <c r="AY23" s="2" t="n"/>
      <c r="AZ23" s="2" t="n"/>
      <c r="BA23" s="2" t="n"/>
      <c r="BB23" s="2" t="n"/>
      <c r="BC23" s="2" t="n"/>
      <c r="BD23" s="2" t="n"/>
      <c r="BE23" s="2" t="n"/>
      <c r="BF23" s="2" t="n"/>
      <c r="BG23" s="2" t="n"/>
      <c r="BH23" s="2" t="n"/>
      <c r="BI23" s="2" t="n"/>
      <c r="BJ23" s="2" t="n"/>
      <c r="BK23" s="2" t="n"/>
      <c r="BL23" s="2" t="n"/>
      <c r="BM23" s="2" t="n"/>
      <c r="BN23" s="2" t="n"/>
      <c r="BO23" s="2" t="n"/>
      <c r="BP23" s="2" t="n"/>
      <c r="BQ23" s="2" t="n"/>
      <c r="BR23" s="2" t="n"/>
      <c r="BS23" s="2" t="n"/>
      <c r="BT23" s="2" t="n"/>
      <c r="BU23" s="2" t="n"/>
      <c r="BV23" s="2" t="n"/>
      <c r="BW23" s="2" t="n"/>
      <c r="BX23" s="2" t="n"/>
      <c r="BY23" s="2" t="n"/>
      <c r="BZ23" s="2" t="n"/>
      <c r="CA23" s="2" t="n"/>
      <c r="CB23" s="2" t="n"/>
      <c r="CC23" s="2" t="n"/>
      <c r="CD23" s="2" t="n"/>
      <c r="CE23" s="2" t="n"/>
      <c r="CF23" s="2" t="n"/>
      <c r="CG23" s="2" t="n"/>
      <c r="CH23" s="2" t="n"/>
      <c r="CI23" s="2" t="n"/>
      <c r="CJ23" s="2" t="n"/>
      <c r="CK23" s="2" t="n"/>
      <c r="CL23" s="2" t="n"/>
      <c r="CM23" s="2" t="n"/>
      <c r="CN23" s="2" t="n"/>
      <c r="CO23" s="2" t="n"/>
      <c r="CP23" s="2" t="n"/>
      <c r="CQ23" s="2" t="n"/>
      <c r="CR23" s="2" t="n"/>
      <c r="CS23" s="2" t="n"/>
      <c r="CT23" s="2" t="n"/>
      <c r="CU23" s="2" t="n"/>
      <c r="CV23" s="2" t="n"/>
      <c r="CW23" s="2" t="n"/>
      <c r="CX23" s="2" t="n"/>
      <c r="CY23" s="2" t="n"/>
      <c r="CZ23" s="2" t="n"/>
      <c r="DA23" s="2" t="n"/>
      <c r="DB23" s="2" t="n"/>
      <c r="DC23" s="2" t="n"/>
      <c r="DD23" s="2" t="n"/>
      <c r="DE23" s="2" t="n"/>
      <c r="DF23" s="2" t="n"/>
      <c r="DG23" s="2" t="n"/>
      <c r="DH23" s="2" t="n"/>
    </row>
    <row r="24" ht="12.75" customFormat="1" customHeight="1" s="76">
      <c r="A24" s="76" t="inlineStr">
        <is>
          <t>предметы</t>
        </is>
      </c>
      <c r="B24" s="76" t="n"/>
      <c r="C24" s="66" t="n"/>
      <c r="D24" s="66" t="n"/>
      <c r="E24" s="66" t="n"/>
      <c r="F24" s="66" t="n"/>
      <c r="G24" s="66" t="n"/>
      <c r="H24" s="66" t="n"/>
      <c r="I24" s="66" t="n"/>
      <c r="J24" s="66" t="n"/>
      <c r="K24" s="66" t="n"/>
      <c r="L24" s="69" t="n"/>
      <c r="M24" s="66" t="n"/>
      <c r="N24" s="66" t="n"/>
      <c r="O24" s="58" t="n"/>
      <c r="P24" s="58" t="n"/>
      <c r="Q24" s="58" t="n"/>
      <c r="R24" s="58" t="n"/>
      <c r="S24" s="58" t="n"/>
      <c r="T24" s="58" t="n"/>
      <c r="U24" s="58" t="n"/>
      <c r="V24" s="58" t="n"/>
      <c r="W24" s="58" t="n"/>
      <c r="X24" s="58" t="n"/>
      <c r="Y24" s="58" t="n"/>
      <c r="Z24" s="58" t="n"/>
      <c r="AA24" s="58" t="n"/>
      <c r="AB24" s="58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/>
      <c r="BB24" s="2" t="n"/>
      <c r="BC24" s="2" t="n"/>
      <c r="BD24" s="2" t="n"/>
      <c r="BE24" s="2" t="n"/>
      <c r="BF24" s="2" t="n"/>
      <c r="BG24" s="2" t="n"/>
      <c r="BH24" s="2" t="n"/>
      <c r="BI24" s="2" t="n"/>
      <c r="BJ24" s="2" t="n"/>
      <c r="BK24" s="2" t="n"/>
      <c r="BL24" s="2" t="n"/>
      <c r="BM24" s="2" t="n"/>
      <c r="BN24" s="2" t="n"/>
      <c r="BO24" s="2" t="n"/>
      <c r="BP24" s="2" t="n"/>
      <c r="BQ24" s="2" t="n"/>
      <c r="BR24" s="2" t="n"/>
      <c r="BS24" s="2" t="n"/>
      <c r="BT24" s="2" t="n"/>
      <c r="BU24" s="2" t="n"/>
      <c r="BV24" s="2" t="n"/>
      <c r="BW24" s="2" t="n"/>
      <c r="BX24" s="2" t="n"/>
      <c r="BY24" s="2" t="n"/>
      <c r="BZ24" s="2" t="n"/>
      <c r="CA24" s="2" t="n"/>
      <c r="CB24" s="2" t="n"/>
      <c r="CC24" s="2" t="n"/>
      <c r="CD24" s="2" t="n"/>
      <c r="CE24" s="2" t="n"/>
      <c r="CF24" s="2" t="n"/>
      <c r="CG24" s="2" t="n"/>
      <c r="CH24" s="2" t="n"/>
      <c r="CI24" s="2" t="n"/>
      <c r="CJ24" s="2" t="n"/>
      <c r="CK24" s="2" t="n"/>
      <c r="CL24" s="2" t="n"/>
      <c r="CM24" s="2" t="n"/>
      <c r="CN24" s="2" t="n"/>
      <c r="CO24" s="2" t="n"/>
      <c r="CP24" s="2" t="n"/>
      <c r="CQ24" s="2" t="n"/>
      <c r="CR24" s="2" t="n"/>
      <c r="CS24" s="2" t="n"/>
      <c r="CT24" s="2" t="n"/>
      <c r="CU24" s="2" t="n"/>
      <c r="CV24" s="2" t="n"/>
      <c r="CW24" s="2" t="n"/>
      <c r="CX24" s="2" t="n"/>
      <c r="CY24" s="2" t="n"/>
      <c r="CZ24" s="2" t="n"/>
      <c r="DA24" s="2" t="n"/>
      <c r="DB24" s="2" t="n"/>
      <c r="DC24" s="2" t="n"/>
      <c r="DD24" s="2" t="n"/>
      <c r="DE24" s="2" t="n"/>
      <c r="DF24" s="2" t="n"/>
      <c r="DG24" s="2" t="n"/>
      <c r="DH24" s="2" t="n"/>
    </row>
    <row r="25" ht="38.1" customFormat="1" customHeight="1" s="76">
      <c r="A25" s="76" t="inlineStr">
        <is>
          <t>действие</t>
        </is>
      </c>
      <c r="B25" s="62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9" t="n"/>
      <c r="M25" s="66" t="n"/>
      <c r="N25" s="66" t="n"/>
      <c r="O25" s="58" t="n"/>
      <c r="P25" s="58" t="n"/>
      <c r="Q25" s="58" t="n"/>
      <c r="R25" s="58" t="n"/>
      <c r="S25" s="58" t="n"/>
      <c r="T25" s="58" t="n"/>
      <c r="U25" s="58" t="n"/>
      <c r="V25" s="58" t="n"/>
      <c r="W25" s="58" t="n"/>
      <c r="X25" s="58" t="n"/>
      <c r="Y25" s="58" t="n"/>
      <c r="Z25" s="58" t="n"/>
      <c r="AA25" s="58" t="n"/>
      <c r="AB25" s="58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  <c r="AU25" s="2" t="n"/>
      <c r="AV25" s="2" t="n"/>
      <c r="AW25" s="2" t="n"/>
      <c r="AX25" s="2" t="n"/>
      <c r="AY25" s="2" t="n"/>
      <c r="AZ25" s="2" t="n"/>
      <c r="BA25" s="2" t="n"/>
      <c r="BB25" s="2" t="n"/>
      <c r="BC25" s="2" t="n"/>
      <c r="BD25" s="2" t="n"/>
      <c r="BE25" s="2" t="n"/>
      <c r="BF25" s="2" t="n"/>
      <c r="BG25" s="2" t="n"/>
      <c r="BH25" s="2" t="n"/>
      <c r="BI25" s="2" t="n"/>
      <c r="BJ25" s="2" t="n"/>
      <c r="BK25" s="2" t="n"/>
      <c r="BL25" s="2" t="n"/>
      <c r="BM25" s="2" t="n"/>
      <c r="BN25" s="2" t="n"/>
      <c r="BO25" s="2" t="n"/>
      <c r="BP25" s="2" t="n"/>
      <c r="BQ25" s="2" t="n"/>
      <c r="BR25" s="2" t="n"/>
      <c r="BS25" s="2" t="n"/>
      <c r="BT25" s="2" t="n"/>
      <c r="BU25" s="2" t="n"/>
      <c r="BV25" s="2" t="n"/>
      <c r="BW25" s="2" t="n"/>
      <c r="BX25" s="2" t="n"/>
      <c r="BY25" s="2" t="n"/>
      <c r="BZ25" s="2" t="n"/>
      <c r="CA25" s="2" t="n"/>
      <c r="CB25" s="2" t="n"/>
      <c r="CC25" s="2" t="n"/>
      <c r="CD25" s="2" t="n"/>
      <c r="CE25" s="2" t="n"/>
      <c r="CF25" s="2" t="n"/>
      <c r="CG25" s="2" t="n"/>
      <c r="CH25" s="2" t="n"/>
      <c r="CI25" s="2" t="n"/>
      <c r="CJ25" s="2" t="n"/>
      <c r="CK25" s="2" t="n"/>
      <c r="CL25" s="2" t="n"/>
      <c r="CM25" s="2" t="n"/>
      <c r="CN25" s="2" t="n"/>
      <c r="CO25" s="2" t="n"/>
      <c r="CP25" s="2" t="n"/>
      <c r="CQ25" s="2" t="n"/>
      <c r="CR25" s="2" t="n"/>
      <c r="CS25" s="2" t="n"/>
      <c r="CT25" s="2" t="n"/>
      <c r="CU25" s="2" t="n"/>
      <c r="CV25" s="2" t="n"/>
      <c r="CW25" s="2" t="n"/>
      <c r="CX25" s="2" t="n"/>
      <c r="CY25" s="2" t="n"/>
      <c r="CZ25" s="2" t="n"/>
      <c r="DA25" s="2" t="n"/>
      <c r="DB25" s="2" t="n"/>
      <c r="DC25" s="2" t="n"/>
      <c r="DD25" s="2" t="n"/>
      <c r="DE25" s="2" t="n"/>
      <c r="DF25" s="2" t="n"/>
      <c r="DG25" s="2" t="n"/>
      <c r="DH25" s="2" t="n"/>
    </row>
    <row r="26" ht="54" customFormat="1" customHeight="1" s="76">
      <c r="A26" s="76" t="inlineStr">
        <is>
          <t>описание кадра</t>
        </is>
      </c>
      <c r="B26" s="62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9" t="n"/>
      <c r="M26" s="66" t="n"/>
      <c r="N26" s="66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  <c r="AU26" s="2" t="n"/>
      <c r="AV26" s="2" t="n"/>
      <c r="AW26" s="2" t="n"/>
      <c r="AX26" s="2" t="n"/>
      <c r="AY26" s="2" t="n"/>
      <c r="AZ26" s="2" t="n"/>
      <c r="BA26" s="2" t="n"/>
      <c r="BB26" s="2" t="n"/>
      <c r="BC26" s="2" t="n"/>
      <c r="BD26" s="2" t="n"/>
      <c r="BE26" s="2" t="n"/>
      <c r="BF26" s="2" t="n"/>
      <c r="BG26" s="2" t="n"/>
      <c r="BH26" s="2" t="n"/>
      <c r="BI26" s="2" t="n"/>
      <c r="BJ26" s="2" t="n"/>
      <c r="BK26" s="2" t="n"/>
      <c r="BL26" s="2" t="n"/>
      <c r="BM26" s="2" t="n"/>
      <c r="BN26" s="2" t="n"/>
      <c r="BO26" s="2" t="n"/>
      <c r="BP26" s="2" t="n"/>
      <c r="BQ26" s="2" t="n"/>
      <c r="BR26" s="2" t="n"/>
      <c r="BS26" s="2" t="n"/>
      <c r="BT26" s="2" t="n"/>
      <c r="BU26" s="2" t="n"/>
      <c r="BV26" s="2" t="n"/>
      <c r="BW26" s="2" t="n"/>
      <c r="BX26" s="2" t="n"/>
      <c r="BY26" s="2" t="n"/>
      <c r="BZ26" s="2" t="n"/>
      <c r="CA26" s="2" t="n"/>
      <c r="CB26" s="2" t="n"/>
      <c r="CC26" s="2" t="n"/>
      <c r="CD26" s="2" t="n"/>
      <c r="CE26" s="2" t="n"/>
      <c r="CF26" s="2" t="n"/>
      <c r="CG26" s="2" t="n"/>
      <c r="CH26" s="2" t="n"/>
      <c r="CI26" s="2" t="n"/>
      <c r="CJ26" s="2" t="n"/>
      <c r="CK26" s="2" t="n"/>
      <c r="CL26" s="2" t="n"/>
      <c r="CM26" s="2" t="n"/>
      <c r="CN26" s="2" t="n"/>
      <c r="CO26" s="2" t="n"/>
      <c r="CP26" s="2" t="n"/>
      <c r="CQ26" s="2" t="n"/>
      <c r="CR26" s="2" t="n"/>
      <c r="CS26" s="2" t="n"/>
      <c r="CT26" s="2" t="n"/>
      <c r="CU26" s="2" t="n"/>
      <c r="CV26" s="2" t="n"/>
      <c r="CW26" s="2" t="n"/>
      <c r="CX26" s="2" t="n"/>
      <c r="CY26" s="2" t="n"/>
      <c r="CZ26" s="2" t="n"/>
      <c r="DA26" s="2" t="n"/>
      <c r="DB26" s="2" t="n"/>
      <c r="DC26" s="2" t="n"/>
      <c r="DD26" s="2" t="n"/>
      <c r="DE26" s="2" t="n"/>
      <c r="DF26" s="2" t="n"/>
      <c r="DG26" s="2" t="n"/>
      <c r="DH26" s="2" t="n"/>
    </row>
    <row r="27" ht="38.1" customFormat="1" customHeight="1" s="76">
      <c r="A27" s="76" t="inlineStr">
        <is>
          <t>логика перехода</t>
        </is>
      </c>
      <c r="B27" s="62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9" t="n"/>
      <c r="M27" s="66" t="n"/>
      <c r="N27" s="66" t="n"/>
      <c r="O27" s="58" t="n"/>
      <c r="P27" s="58" t="n"/>
      <c r="Q27" s="58" t="n"/>
      <c r="R27" s="58" t="n"/>
      <c r="S27" s="58" t="n"/>
      <c r="T27" s="58" t="n"/>
      <c r="U27" s="58" t="n"/>
      <c r="V27" s="58" t="n"/>
      <c r="W27" s="58" t="n"/>
      <c r="X27" s="58" t="n"/>
      <c r="Y27" s="58" t="n"/>
      <c r="Z27" s="58" t="n"/>
      <c r="AA27" s="58" t="n"/>
      <c r="AB27" s="58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n"/>
      <c r="AV27" s="2" t="n"/>
      <c r="AW27" s="2" t="n"/>
      <c r="AX27" s="2" t="n"/>
      <c r="AY27" s="2" t="n"/>
      <c r="AZ27" s="2" t="n"/>
      <c r="BA27" s="2" t="n"/>
      <c r="BB27" s="2" t="n"/>
      <c r="BC27" s="2" t="n"/>
      <c r="BD27" s="2" t="n"/>
      <c r="BE27" s="2" t="n"/>
      <c r="BF27" s="2" t="n"/>
      <c r="BG27" s="2" t="n"/>
      <c r="BH27" s="2" t="n"/>
      <c r="BI27" s="2" t="n"/>
      <c r="BJ27" s="2" t="n"/>
      <c r="BK27" s="2" t="n"/>
      <c r="BL27" s="2" t="n"/>
      <c r="BM27" s="2" t="n"/>
      <c r="BN27" s="2" t="n"/>
      <c r="BO27" s="2" t="n"/>
      <c r="BP27" s="2" t="n"/>
      <c r="BQ27" s="2" t="n"/>
      <c r="BR27" s="2" t="n"/>
      <c r="BS27" s="2" t="n"/>
      <c r="BT27" s="2" t="n"/>
      <c r="BU27" s="2" t="n"/>
      <c r="BV27" s="2" t="n"/>
      <c r="BW27" s="2" t="n"/>
      <c r="BX27" s="2" t="n"/>
      <c r="BY27" s="2" t="n"/>
      <c r="BZ27" s="2" t="n"/>
      <c r="CA27" s="2" t="n"/>
      <c r="CB27" s="2" t="n"/>
      <c r="CC27" s="2" t="n"/>
      <c r="CD27" s="2" t="n"/>
      <c r="CE27" s="2" t="n"/>
      <c r="CF27" s="2" t="n"/>
      <c r="CG27" s="2" t="n"/>
      <c r="CH27" s="2" t="n"/>
      <c r="CI27" s="2" t="n"/>
      <c r="CJ27" s="2" t="n"/>
      <c r="CK27" s="2" t="n"/>
      <c r="CL27" s="2" t="n"/>
      <c r="CM27" s="2" t="n"/>
      <c r="CN27" s="2" t="n"/>
      <c r="CO27" s="2" t="n"/>
      <c r="CP27" s="2" t="n"/>
      <c r="CQ27" s="2" t="n"/>
      <c r="CR27" s="2" t="n"/>
      <c r="CS27" s="2" t="n"/>
      <c r="CT27" s="2" t="n"/>
      <c r="CU27" s="2" t="n"/>
      <c r="CV27" s="2" t="n"/>
      <c r="CW27" s="2" t="n"/>
      <c r="CX27" s="2" t="n"/>
      <c r="CY27" s="2" t="n"/>
      <c r="CZ27" s="2" t="n"/>
      <c r="DA27" s="2" t="n"/>
      <c r="DB27" s="2" t="n"/>
      <c r="DC27" s="2" t="n"/>
      <c r="DD27" s="2" t="n"/>
      <c r="DE27" s="2" t="n"/>
      <c r="DF27" s="2" t="n"/>
      <c r="DG27" s="2" t="n"/>
      <c r="DH27" s="2" t="n"/>
    </row>
    <row r="28" ht="38.1" customFormat="1" customHeight="1" s="76">
      <c r="A28" s="76" t="inlineStr">
        <is>
          <t>заметки по консистенции</t>
        </is>
      </c>
      <c r="B28" s="20" t="n"/>
      <c r="C28" s="70" t="n"/>
      <c r="D28" s="70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1" t="n"/>
      <c r="O28" s="58" t="n"/>
      <c r="P28" s="58" t="n"/>
      <c r="Q28" s="58" t="n"/>
      <c r="R28" s="58" t="n"/>
      <c r="S28" s="58" t="n"/>
      <c r="T28" s="58" t="n"/>
      <c r="U28" s="58" t="n"/>
      <c r="V28" s="58" t="n"/>
      <c r="W28" s="58" t="n"/>
      <c r="X28" s="58" t="n"/>
      <c r="Y28" s="58" t="n"/>
      <c r="Z28" s="58" t="n"/>
      <c r="AA28" s="58" t="n"/>
      <c r="AB28" s="58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n"/>
      <c r="AX28" s="2" t="n"/>
      <c r="AY28" s="2" t="n"/>
      <c r="AZ28" s="2" t="n"/>
      <c r="BA28" s="2" t="n"/>
      <c r="BB28" s="2" t="n"/>
      <c r="BC28" s="2" t="n"/>
      <c r="BD28" s="2" t="n"/>
      <c r="BE28" s="2" t="n"/>
      <c r="BF28" s="2" t="n"/>
      <c r="BG28" s="2" t="n"/>
      <c r="BH28" s="2" t="n"/>
      <c r="BI28" s="2" t="n"/>
      <c r="BJ28" s="2" t="n"/>
      <c r="BK28" s="2" t="n"/>
      <c r="BL28" s="2" t="n"/>
      <c r="BM28" s="2" t="n"/>
      <c r="BN28" s="2" t="n"/>
      <c r="BO28" s="2" t="n"/>
      <c r="BP28" s="2" t="n"/>
      <c r="BQ28" s="2" t="n"/>
      <c r="BR28" s="2" t="n"/>
      <c r="BS28" s="2" t="n"/>
      <c r="BT28" s="2" t="n"/>
      <c r="BU28" s="2" t="n"/>
      <c r="BV28" s="2" t="n"/>
      <c r="BW28" s="2" t="n"/>
      <c r="BX28" s="2" t="n"/>
      <c r="BY28" s="2" t="n"/>
      <c r="BZ28" s="2" t="n"/>
      <c r="CA28" s="2" t="n"/>
      <c r="CB28" s="2" t="n"/>
      <c r="CC28" s="2" t="n"/>
      <c r="CD28" s="2" t="n"/>
      <c r="CE28" s="2" t="n"/>
      <c r="CF28" s="2" t="n"/>
      <c r="CG28" s="2" t="n"/>
      <c r="CH28" s="2" t="n"/>
      <c r="CI28" s="2" t="n"/>
      <c r="CJ28" s="2" t="n"/>
      <c r="CK28" s="2" t="n"/>
      <c r="CL28" s="2" t="n"/>
      <c r="CM28" s="2" t="n"/>
      <c r="CN28" s="2" t="n"/>
      <c r="CO28" s="2" t="n"/>
      <c r="CP28" s="2" t="n"/>
      <c r="CQ28" s="2" t="n"/>
      <c r="CR28" s="2" t="n"/>
      <c r="CS28" s="2" t="n"/>
      <c r="CT28" s="2" t="n"/>
      <c r="CU28" s="2" t="n"/>
      <c r="CV28" s="2" t="n"/>
      <c r="CW28" s="2" t="n"/>
      <c r="CX28" s="2" t="n"/>
      <c r="CY28" s="2" t="n"/>
      <c r="CZ28" s="2" t="n"/>
      <c r="DA28" s="2" t="n"/>
      <c r="DB28" s="2" t="n"/>
      <c r="DC28" s="2" t="n"/>
      <c r="DD28" s="2" t="n"/>
      <c r="DE28" s="2" t="n"/>
      <c r="DF28" s="2" t="n"/>
      <c r="DG28" s="2" t="n"/>
      <c r="DH28" s="2" t="n"/>
    </row>
    <row r="29" ht="12.75" customFormat="1" customHeight="1" s="76">
      <c r="A29" s="76" t="inlineStr">
        <is>
          <t>статус</t>
        </is>
      </c>
      <c r="B29" s="62" t="n"/>
      <c r="C29" s="66" t="n"/>
      <c r="D29" s="66" t="n"/>
      <c r="E29" s="66" t="n"/>
      <c r="F29" s="66" t="n"/>
      <c r="G29" s="66" t="n"/>
      <c r="H29" s="66" t="n"/>
      <c r="I29" s="66" t="n"/>
      <c r="J29" s="66" t="n"/>
      <c r="K29" s="66" t="n"/>
      <c r="L29" s="66" t="n"/>
      <c r="M29" s="66" t="n"/>
      <c r="N29" s="66" t="n"/>
      <c r="O29" s="58" t="n"/>
      <c r="P29" s="58" t="n"/>
      <c r="Q29" s="58" t="n"/>
      <c r="R29" s="58" t="n"/>
      <c r="S29" s="58" t="n"/>
      <c r="T29" s="58" t="n"/>
      <c r="U29" s="58" t="n"/>
      <c r="V29" s="58" t="n"/>
      <c r="W29" s="58" t="n"/>
      <c r="X29" s="58" t="n"/>
      <c r="Y29" s="58" t="n"/>
      <c r="Z29" s="58" t="n"/>
      <c r="AA29" s="58" t="n"/>
      <c r="AB29" s="58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n"/>
      <c r="AX29" s="2" t="n"/>
      <c r="AY29" s="2" t="n"/>
      <c r="AZ29" s="2" t="n"/>
      <c r="BA29" s="2" t="n"/>
      <c r="BB29" s="2" t="n"/>
      <c r="BC29" s="2" t="n"/>
      <c r="BD29" s="2" t="n"/>
      <c r="BE29" s="2" t="n"/>
      <c r="BF29" s="2" t="n"/>
      <c r="BG29" s="2" t="n"/>
      <c r="BH29" s="2" t="n"/>
      <c r="BI29" s="2" t="n"/>
      <c r="BJ29" s="2" t="n"/>
      <c r="BK29" s="2" t="n"/>
      <c r="BL29" s="2" t="n"/>
      <c r="BM29" s="2" t="n"/>
      <c r="BN29" s="2" t="n"/>
      <c r="BO29" s="2" t="n"/>
      <c r="BP29" s="2" t="n"/>
      <c r="BQ29" s="2" t="n"/>
      <c r="BR29" s="2" t="n"/>
      <c r="BS29" s="2" t="n"/>
      <c r="BT29" s="2" t="n"/>
      <c r="BU29" s="2" t="n"/>
      <c r="BV29" s="2" t="n"/>
      <c r="BW29" s="2" t="n"/>
      <c r="BX29" s="2" t="n"/>
      <c r="BY29" s="2" t="n"/>
      <c r="BZ29" s="2" t="n"/>
      <c r="CA29" s="2" t="n"/>
      <c r="CB29" s="2" t="n"/>
      <c r="CC29" s="2" t="n"/>
      <c r="CD29" s="2" t="n"/>
      <c r="CE29" s="2" t="n"/>
      <c r="CF29" s="2" t="n"/>
      <c r="CG29" s="2" t="n"/>
      <c r="CH29" s="2" t="n"/>
      <c r="CI29" s="2" t="n"/>
      <c r="CJ29" s="2" t="n"/>
      <c r="CK29" s="2" t="n"/>
      <c r="CL29" s="2" t="n"/>
      <c r="CM29" s="2" t="n"/>
      <c r="CN29" s="2" t="n"/>
      <c r="CO29" s="2" t="n"/>
      <c r="CP29" s="2" t="n"/>
      <c r="CQ29" s="2" t="n"/>
      <c r="CR29" s="2" t="n"/>
      <c r="CS29" s="2" t="n"/>
      <c r="CT29" s="2" t="n"/>
      <c r="CU29" s="2" t="n"/>
      <c r="CV29" s="2" t="n"/>
      <c r="CW29" s="2" t="n"/>
      <c r="CX29" s="2" t="n"/>
      <c r="CY29" s="2" t="n"/>
      <c r="CZ29" s="2" t="n"/>
      <c r="DA29" s="2" t="n"/>
      <c r="DB29" s="2" t="n"/>
      <c r="DC29" s="2" t="n"/>
      <c r="DD29" s="2" t="n"/>
      <c r="DE29" s="2" t="n"/>
      <c r="DF29" s="2" t="n"/>
      <c r="DG29" s="2" t="n"/>
      <c r="DH29" s="2" t="n"/>
    </row>
    <row r="30" ht="12.75" customFormat="1" customHeight="1" s="76">
      <c r="A30" s="76" t="n"/>
      <c r="B30" s="62" t="n"/>
      <c r="C30" s="66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58" t="n"/>
      <c r="P30" s="58" t="n"/>
      <c r="Q30" s="58" t="n"/>
      <c r="R30" s="58" t="n"/>
      <c r="S30" s="58" t="n"/>
      <c r="T30" s="58" t="n"/>
      <c r="U30" s="58" t="n"/>
      <c r="V30" s="58" t="n"/>
      <c r="W30" s="58" t="n"/>
      <c r="X30" s="58" t="n"/>
      <c r="Y30" s="58" t="n"/>
      <c r="Z30" s="58" t="n"/>
      <c r="AA30" s="58" t="n"/>
      <c r="AB30" s="58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  <c r="BA30" s="2" t="n"/>
      <c r="BB30" s="2" t="n"/>
      <c r="BC30" s="2" t="n"/>
      <c r="BD30" s="2" t="n"/>
      <c r="BE30" s="2" t="n"/>
      <c r="BF30" s="2" t="n"/>
      <c r="BG30" s="2" t="n"/>
      <c r="BH30" s="2" t="n"/>
      <c r="BI30" s="2" t="n"/>
      <c r="BJ30" s="2" t="n"/>
      <c r="BK30" s="2" t="n"/>
      <c r="BL30" s="2" t="n"/>
      <c r="BM30" s="2" t="n"/>
      <c r="BN30" s="2" t="n"/>
      <c r="BO30" s="2" t="n"/>
      <c r="BP30" s="2" t="n"/>
      <c r="BQ30" s="2" t="n"/>
      <c r="BR30" s="2" t="n"/>
      <c r="BS30" s="2" t="n"/>
      <c r="BT30" s="2" t="n"/>
      <c r="BU30" s="2" t="n"/>
      <c r="BV30" s="2" t="n"/>
      <c r="BW30" s="2" t="n"/>
      <c r="BX30" s="2" t="n"/>
      <c r="BY30" s="2" t="n"/>
      <c r="BZ30" s="2" t="n"/>
      <c r="CA30" s="2" t="n"/>
      <c r="CB30" s="2" t="n"/>
      <c r="CC30" s="2" t="n"/>
      <c r="CD30" s="2" t="n"/>
      <c r="CE30" s="2" t="n"/>
      <c r="CF30" s="2" t="n"/>
      <c r="CG30" s="2" t="n"/>
      <c r="CH30" s="2" t="n"/>
      <c r="CI30" s="2" t="n"/>
      <c r="CJ30" s="2" t="n"/>
      <c r="CK30" s="2" t="n"/>
      <c r="CL30" s="2" t="n"/>
      <c r="CM30" s="2" t="n"/>
      <c r="CN30" s="2" t="n"/>
      <c r="CO30" s="2" t="n"/>
      <c r="CP30" s="2" t="n"/>
      <c r="CQ30" s="2" t="n"/>
      <c r="CR30" s="2" t="n"/>
      <c r="CS30" s="2" t="n"/>
      <c r="CT30" s="2" t="n"/>
      <c r="CU30" s="2" t="n"/>
      <c r="CV30" s="2" t="n"/>
      <c r="CW30" s="2" t="n"/>
      <c r="CX30" s="2" t="n"/>
      <c r="CY30" s="2" t="n"/>
      <c r="CZ30" s="2" t="n"/>
      <c r="DA30" s="2" t="n"/>
      <c r="DB30" s="2" t="n"/>
      <c r="DC30" s="2" t="n"/>
      <c r="DD30" s="2" t="n"/>
      <c r="DE30" s="2" t="n"/>
      <c r="DF30" s="2" t="n"/>
      <c r="DG30" s="2" t="n"/>
      <c r="DH30" s="2" t="n"/>
    </row>
    <row r="31" ht="12.75" customFormat="1" customHeight="1" s="76">
      <c r="A31" s="76" t="inlineStr">
        <is>
          <t>кадр3</t>
        </is>
      </c>
      <c r="B31" s="62" t="n"/>
      <c r="C31" s="66" t="n"/>
      <c r="D31" s="66" t="n"/>
      <c r="E31" s="66" t="n"/>
      <c r="F31" s="66" t="n"/>
      <c r="G31" s="66" t="n"/>
      <c r="H31" s="66" t="n"/>
      <c r="I31" s="66" t="n"/>
      <c r="J31" s="66" t="n"/>
      <c r="K31" s="66" t="n"/>
      <c r="L31" s="66" t="n"/>
      <c r="M31" s="66" t="n"/>
      <c r="N31" s="66" t="n"/>
      <c r="O31" s="58" t="n"/>
      <c r="P31" s="58" t="n"/>
      <c r="Q31" s="58" t="n"/>
      <c r="R31" s="58" t="n"/>
      <c r="S31" s="58" t="n"/>
      <c r="T31" s="58" t="n"/>
      <c r="U31" s="58" t="n"/>
      <c r="V31" s="58" t="n"/>
      <c r="W31" s="58" t="n"/>
      <c r="X31" s="58" t="n"/>
      <c r="Y31" s="58" t="n"/>
      <c r="Z31" s="58" t="n"/>
      <c r="AA31" s="58" t="n"/>
      <c r="AB31" s="58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  <c r="BA31" s="2" t="n"/>
      <c r="BB31" s="2" t="n"/>
      <c r="BC31" s="2" t="n"/>
      <c r="BD31" s="2" t="n"/>
      <c r="BE31" s="2" t="n"/>
      <c r="BF31" s="2" t="n"/>
      <c r="BG31" s="2" t="n"/>
      <c r="BH31" s="2" t="n"/>
      <c r="BI31" s="2" t="n"/>
      <c r="BJ31" s="2" t="n"/>
      <c r="BK31" s="2" t="n"/>
      <c r="BL31" s="2" t="n"/>
      <c r="BM31" s="2" t="n"/>
      <c r="BN31" s="2" t="n"/>
      <c r="BO31" s="2" t="n"/>
      <c r="BP31" s="2" t="n"/>
      <c r="BQ31" s="2" t="n"/>
      <c r="BR31" s="2" t="n"/>
      <c r="BS31" s="2" t="n"/>
      <c r="BT31" s="2" t="n"/>
      <c r="BU31" s="2" t="n"/>
      <c r="BV31" s="2" t="n"/>
      <c r="BW31" s="2" t="n"/>
      <c r="BX31" s="2" t="n"/>
      <c r="BY31" s="2" t="n"/>
      <c r="BZ31" s="2" t="n"/>
      <c r="CA31" s="2" t="n"/>
      <c r="CB31" s="2" t="n"/>
      <c r="CC31" s="2" t="n"/>
      <c r="CD31" s="2" t="n"/>
      <c r="CE31" s="2" t="n"/>
      <c r="CF31" s="2" t="n"/>
      <c r="CG31" s="2" t="n"/>
      <c r="CH31" s="2" t="n"/>
      <c r="CI31" s="2" t="n"/>
      <c r="CJ31" s="2" t="n"/>
      <c r="CK31" s="2" t="n"/>
      <c r="CL31" s="2" t="n"/>
      <c r="CM31" s="2" t="n"/>
      <c r="CN31" s="2" t="n"/>
      <c r="CO31" s="2" t="n"/>
      <c r="CP31" s="2" t="n"/>
      <c r="CQ31" s="2" t="n"/>
      <c r="CR31" s="2" t="n"/>
      <c r="CS31" s="2" t="n"/>
      <c r="CT31" s="2" t="n"/>
      <c r="CU31" s="2" t="n"/>
      <c r="CV31" s="2" t="n"/>
      <c r="CW31" s="2" t="n"/>
      <c r="CX31" s="2" t="n"/>
      <c r="CY31" s="2" t="n"/>
      <c r="CZ31" s="2" t="n"/>
      <c r="DA31" s="2" t="n"/>
      <c r="DB31" s="2" t="n"/>
      <c r="DC31" s="2" t="n"/>
      <c r="DD31" s="2" t="n"/>
      <c r="DE31" s="2" t="n"/>
      <c r="DF31" s="2" t="n"/>
      <c r="DG31" s="2" t="n"/>
      <c r="DH31" s="2" t="n"/>
    </row>
    <row r="32" ht="12.75" customFormat="1" customHeight="1" s="76">
      <c r="A32" s="76" t="inlineStr">
        <is>
          <t>id scene</t>
        </is>
      </c>
      <c r="B32" s="62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58" t="n"/>
      <c r="P32" s="58" t="n"/>
      <c r="Q32" s="58" t="n"/>
      <c r="R32" s="58" t="n"/>
      <c r="S32" s="58" t="n"/>
      <c r="T32" s="58" t="n"/>
      <c r="U32" s="58" t="n"/>
      <c r="V32" s="58" t="n"/>
      <c r="W32" s="58" t="n"/>
      <c r="X32" s="58" t="n"/>
      <c r="Y32" s="58" t="n"/>
      <c r="Z32" s="58" t="n"/>
      <c r="AA32" s="58" t="n"/>
      <c r="AB32" s="58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  <c r="BA32" s="2" t="n"/>
      <c r="BB32" s="2" t="n"/>
      <c r="BC32" s="2" t="n"/>
      <c r="BD32" s="2" t="n"/>
      <c r="BE32" s="2" t="n"/>
      <c r="BF32" s="2" t="n"/>
      <c r="BG32" s="2" t="n"/>
      <c r="BH32" s="2" t="n"/>
      <c r="BI32" s="2" t="n"/>
      <c r="BJ32" s="2" t="n"/>
      <c r="BK32" s="2" t="n"/>
      <c r="BL32" s="2" t="n"/>
      <c r="BM32" s="2" t="n"/>
      <c r="BN32" s="2" t="n"/>
      <c r="BO32" s="2" t="n"/>
      <c r="BP32" s="2" t="n"/>
      <c r="BQ32" s="2" t="n"/>
      <c r="BR32" s="2" t="n"/>
      <c r="BS32" s="2" t="n"/>
      <c r="BT32" s="2" t="n"/>
      <c r="BU32" s="2" t="n"/>
      <c r="BV32" s="2" t="n"/>
      <c r="BW32" s="2" t="n"/>
      <c r="BX32" s="2" t="n"/>
      <c r="BY32" s="2" t="n"/>
      <c r="BZ32" s="2" t="n"/>
      <c r="CA32" s="2" t="n"/>
      <c r="CB32" s="2" t="n"/>
      <c r="CC32" s="2" t="n"/>
      <c r="CD32" s="2" t="n"/>
      <c r="CE32" s="2" t="n"/>
      <c r="CF32" s="2" t="n"/>
      <c r="CG32" s="2" t="n"/>
      <c r="CH32" s="2" t="n"/>
      <c r="CI32" s="2" t="n"/>
      <c r="CJ32" s="2" t="n"/>
      <c r="CK32" s="2" t="n"/>
      <c r="CL32" s="2" t="n"/>
      <c r="CM32" s="2" t="n"/>
      <c r="CN32" s="2" t="n"/>
      <c r="CO32" s="2" t="n"/>
      <c r="CP32" s="2" t="n"/>
      <c r="CQ32" s="2" t="n"/>
      <c r="CR32" s="2" t="n"/>
      <c r="CS32" s="2" t="n"/>
      <c r="CT32" s="2" t="n"/>
      <c r="CU32" s="2" t="n"/>
      <c r="CV32" s="2" t="n"/>
      <c r="CW32" s="2" t="n"/>
      <c r="CX32" s="2" t="n"/>
      <c r="CY32" s="2" t="n"/>
      <c r="CZ32" s="2" t="n"/>
      <c r="DA32" s="2" t="n"/>
      <c r="DB32" s="2" t="n"/>
      <c r="DC32" s="2" t="n"/>
      <c r="DD32" s="2" t="n"/>
      <c r="DE32" s="2" t="n"/>
      <c r="DF32" s="2" t="n"/>
      <c r="DG32" s="2" t="n"/>
      <c r="DH32" s="2" t="n"/>
    </row>
    <row r="33" ht="12.75" customFormat="1" customHeight="1" s="76">
      <c r="A33" s="21" t="inlineStr">
        <is>
          <t>id shot</t>
        </is>
      </c>
      <c r="B33" s="62" t="n"/>
      <c r="C33" s="66" t="n"/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58" t="n"/>
      <c r="P33" s="58" t="n"/>
      <c r="Q33" s="58" t="n"/>
      <c r="R33" s="58" t="n"/>
      <c r="S33" s="58" t="n"/>
      <c r="T33" s="58" t="n"/>
      <c r="U33" s="58" t="n"/>
      <c r="V33" s="58" t="n"/>
      <c r="W33" s="58" t="n"/>
      <c r="X33" s="58" t="n"/>
      <c r="Y33" s="58" t="n"/>
      <c r="Z33" s="58" t="n"/>
      <c r="AA33" s="58" t="n"/>
      <c r="AB33" s="58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  <c r="BB33" s="2" t="n"/>
      <c r="BC33" s="2" t="n"/>
      <c r="BD33" s="2" t="n"/>
      <c r="BE33" s="2" t="n"/>
      <c r="BF33" s="2" t="n"/>
      <c r="BG33" s="2" t="n"/>
      <c r="BH33" s="2" t="n"/>
      <c r="BI33" s="2" t="n"/>
      <c r="BJ33" s="2" t="n"/>
      <c r="BK33" s="2" t="n"/>
      <c r="BL33" s="2" t="n"/>
      <c r="BM33" s="2" t="n"/>
      <c r="BN33" s="2" t="n"/>
      <c r="BO33" s="2" t="n"/>
      <c r="BP33" s="2" t="n"/>
      <c r="BQ33" s="2" t="n"/>
      <c r="BR33" s="2" t="n"/>
      <c r="BS33" s="2" t="n"/>
      <c r="BT33" s="2" t="n"/>
      <c r="BU33" s="2" t="n"/>
      <c r="BV33" s="2" t="n"/>
      <c r="BW33" s="2" t="n"/>
      <c r="BX33" s="2" t="n"/>
      <c r="BY33" s="2" t="n"/>
      <c r="BZ33" s="2" t="n"/>
      <c r="CA33" s="2" t="n"/>
      <c r="CB33" s="2" t="n"/>
      <c r="CC33" s="2" t="n"/>
      <c r="CD33" s="2" t="n"/>
      <c r="CE33" s="2" t="n"/>
      <c r="CF33" s="2" t="n"/>
      <c r="CG33" s="2" t="n"/>
      <c r="CH33" s="2" t="n"/>
      <c r="CI33" s="2" t="n"/>
      <c r="CJ33" s="2" t="n"/>
      <c r="CK33" s="2" t="n"/>
      <c r="CL33" s="2" t="n"/>
      <c r="CM33" s="2" t="n"/>
      <c r="CN33" s="2" t="n"/>
      <c r="CO33" s="2" t="n"/>
      <c r="CP33" s="2" t="n"/>
      <c r="CQ33" s="2" t="n"/>
      <c r="CR33" s="2" t="n"/>
      <c r="CS33" s="2" t="n"/>
      <c r="CT33" s="2" t="n"/>
      <c r="CU33" s="2" t="n"/>
      <c r="CV33" s="2" t="n"/>
      <c r="CW33" s="2" t="n"/>
      <c r="CX33" s="2" t="n"/>
      <c r="CY33" s="2" t="n"/>
      <c r="CZ33" s="2" t="n"/>
      <c r="DA33" s="2" t="n"/>
      <c r="DB33" s="2" t="n"/>
      <c r="DC33" s="2" t="n"/>
      <c r="DD33" s="2" t="n"/>
      <c r="DE33" s="2" t="n"/>
      <c r="DF33" s="2" t="n"/>
      <c r="DG33" s="2" t="n"/>
      <c r="DH33" s="2" t="n"/>
    </row>
    <row r="34" ht="12.75" customFormat="1" customHeight="1" s="76">
      <c r="A34" s="76" t="inlineStr">
        <is>
          <t>номер кадра</t>
        </is>
      </c>
      <c r="B34" s="62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58" t="n"/>
      <c r="P34" s="58" t="n"/>
      <c r="Q34" s="58" t="n"/>
      <c r="R34" s="58" t="n"/>
      <c r="S34" s="58" t="n"/>
      <c r="T34" s="58" t="n"/>
      <c r="U34" s="58" t="n"/>
      <c r="V34" s="58" t="n"/>
      <c r="W34" s="58" t="n"/>
      <c r="X34" s="58" t="n"/>
      <c r="Y34" s="58" t="n"/>
      <c r="Z34" s="58" t="n"/>
      <c r="AA34" s="58" t="n"/>
      <c r="AB34" s="58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  <c r="BB34" s="2" t="n"/>
      <c r="BC34" s="2" t="n"/>
      <c r="BD34" s="2" t="n"/>
      <c r="BE34" s="2" t="n"/>
      <c r="BF34" s="2" t="n"/>
      <c r="BG34" s="2" t="n"/>
      <c r="BH34" s="2" t="n"/>
      <c r="BI34" s="2" t="n"/>
      <c r="BJ34" s="2" t="n"/>
      <c r="BK34" s="2" t="n"/>
      <c r="BL34" s="2" t="n"/>
      <c r="BM34" s="2" t="n"/>
      <c r="BN34" s="2" t="n"/>
      <c r="BO34" s="2" t="n"/>
      <c r="BP34" s="2" t="n"/>
      <c r="BQ34" s="2" t="n"/>
      <c r="BR34" s="2" t="n"/>
      <c r="BS34" s="2" t="n"/>
      <c r="BT34" s="2" t="n"/>
      <c r="BU34" s="2" t="n"/>
      <c r="BV34" s="2" t="n"/>
      <c r="BW34" s="2" t="n"/>
      <c r="BX34" s="2" t="n"/>
      <c r="BY34" s="2" t="n"/>
      <c r="BZ34" s="2" t="n"/>
      <c r="CA34" s="2" t="n"/>
      <c r="CB34" s="2" t="n"/>
      <c r="CC34" s="2" t="n"/>
      <c r="CD34" s="2" t="n"/>
      <c r="CE34" s="2" t="n"/>
      <c r="CF34" s="2" t="n"/>
      <c r="CG34" s="2" t="n"/>
      <c r="CH34" s="2" t="n"/>
      <c r="CI34" s="2" t="n"/>
      <c r="CJ34" s="2" t="n"/>
      <c r="CK34" s="2" t="n"/>
      <c r="CL34" s="2" t="n"/>
      <c r="CM34" s="2" t="n"/>
      <c r="CN34" s="2" t="n"/>
      <c r="CO34" s="2" t="n"/>
      <c r="CP34" s="2" t="n"/>
      <c r="CQ34" s="2" t="n"/>
      <c r="CR34" s="2" t="n"/>
      <c r="CS34" s="2" t="n"/>
      <c r="CT34" s="2" t="n"/>
      <c r="CU34" s="2" t="n"/>
      <c r="CV34" s="2" t="n"/>
      <c r="CW34" s="2" t="n"/>
      <c r="CX34" s="2" t="n"/>
      <c r="CY34" s="2" t="n"/>
      <c r="CZ34" s="2" t="n"/>
      <c r="DA34" s="2" t="n"/>
      <c r="DB34" s="2" t="n"/>
      <c r="DC34" s="2" t="n"/>
      <c r="DD34" s="2" t="n"/>
      <c r="DE34" s="2" t="n"/>
      <c r="DF34" s="2" t="n"/>
      <c r="DG34" s="2" t="n"/>
      <c r="DH34" s="2" t="n"/>
    </row>
    <row r="35" ht="12.75" customFormat="1" customHeight="1" s="76">
      <c r="A35" s="76" t="inlineStr">
        <is>
          <t>предыдущий кадр</t>
        </is>
      </c>
      <c r="B35" s="62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58" t="n"/>
      <c r="P35" s="58" t="n"/>
      <c r="Q35" s="58" t="n"/>
      <c r="R35" s="58" t="n"/>
      <c r="S35" s="58" t="n"/>
      <c r="T35" s="58" t="n"/>
      <c r="U35" s="58" t="n"/>
      <c r="V35" s="58" t="n"/>
      <c r="W35" s="58" t="n"/>
      <c r="X35" s="58" t="n"/>
      <c r="Y35" s="58" t="n"/>
      <c r="Z35" s="58" t="n"/>
      <c r="AA35" s="58" t="n"/>
      <c r="AB35" s="58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  <c r="BA35" s="2" t="n"/>
      <c r="BB35" s="2" t="n"/>
      <c r="BC35" s="2" t="n"/>
      <c r="BD35" s="2" t="n"/>
      <c r="BE35" s="2" t="n"/>
      <c r="BF35" s="2" t="n"/>
      <c r="BG35" s="2" t="n"/>
      <c r="BH35" s="2" t="n"/>
      <c r="BI35" s="2" t="n"/>
      <c r="BJ35" s="2" t="n"/>
      <c r="BK35" s="2" t="n"/>
      <c r="BL35" s="2" t="n"/>
      <c r="BM35" s="2" t="n"/>
      <c r="BN35" s="2" t="n"/>
      <c r="BO35" s="2" t="n"/>
      <c r="BP35" s="2" t="n"/>
      <c r="BQ35" s="2" t="n"/>
      <c r="BR35" s="2" t="n"/>
      <c r="BS35" s="2" t="n"/>
      <c r="BT35" s="2" t="n"/>
      <c r="BU35" s="2" t="n"/>
      <c r="BV35" s="2" t="n"/>
      <c r="BW35" s="2" t="n"/>
      <c r="BX35" s="2" t="n"/>
      <c r="BY35" s="2" t="n"/>
      <c r="BZ35" s="2" t="n"/>
      <c r="CA35" s="2" t="n"/>
      <c r="CB35" s="2" t="n"/>
      <c r="CC35" s="2" t="n"/>
      <c r="CD35" s="2" t="n"/>
      <c r="CE35" s="2" t="n"/>
      <c r="CF35" s="2" t="n"/>
      <c r="CG35" s="2" t="n"/>
      <c r="CH35" s="2" t="n"/>
      <c r="CI35" s="2" t="n"/>
      <c r="CJ35" s="2" t="n"/>
      <c r="CK35" s="2" t="n"/>
      <c r="CL35" s="2" t="n"/>
      <c r="CM35" s="2" t="n"/>
      <c r="CN35" s="2" t="n"/>
      <c r="CO35" s="2" t="n"/>
      <c r="CP35" s="2" t="n"/>
      <c r="CQ35" s="2" t="n"/>
      <c r="CR35" s="2" t="n"/>
      <c r="CS35" s="2" t="n"/>
      <c r="CT35" s="2" t="n"/>
      <c r="CU35" s="2" t="n"/>
      <c r="CV35" s="2" t="n"/>
      <c r="CW35" s="2" t="n"/>
      <c r="CX35" s="2" t="n"/>
      <c r="CY35" s="2" t="n"/>
      <c r="CZ35" s="2" t="n"/>
      <c r="DA35" s="2" t="n"/>
      <c r="DB35" s="2" t="n"/>
      <c r="DC35" s="2" t="n"/>
      <c r="DD35" s="2" t="n"/>
      <c r="DE35" s="2" t="n"/>
      <c r="DF35" s="2" t="n"/>
      <c r="DG35" s="2" t="n"/>
      <c r="DH35" s="2" t="n"/>
    </row>
    <row r="36" ht="12.75" customFormat="1" customHeight="1" s="76">
      <c r="A36" s="21" t="inlineStr">
        <is>
          <t>следующий кадр</t>
        </is>
      </c>
      <c r="B36" s="62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58" t="n"/>
      <c r="P36" s="58" t="n"/>
      <c r="Q36" s="58" t="n"/>
      <c r="R36" s="58" t="n"/>
      <c r="S36" s="58" t="n"/>
      <c r="T36" s="58" t="n"/>
      <c r="U36" s="58" t="n"/>
      <c r="V36" s="58" t="n"/>
      <c r="W36" s="58" t="n"/>
      <c r="X36" s="58" t="n"/>
      <c r="Y36" s="58" t="n"/>
      <c r="Z36" s="58" t="n"/>
      <c r="AA36" s="58" t="n"/>
      <c r="AB36" s="58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  <c r="BA36" s="2" t="n"/>
      <c r="BB36" s="2" t="n"/>
      <c r="BC36" s="2" t="n"/>
      <c r="BD36" s="2" t="n"/>
      <c r="BE36" s="2" t="n"/>
      <c r="BF36" s="2" t="n"/>
      <c r="BG36" s="2" t="n"/>
      <c r="BH36" s="2" t="n"/>
      <c r="BI36" s="2" t="n"/>
      <c r="BJ36" s="2" t="n"/>
      <c r="BK36" s="2" t="n"/>
      <c r="BL36" s="2" t="n"/>
      <c r="BM36" s="2" t="n"/>
      <c r="BN36" s="2" t="n"/>
      <c r="BO36" s="2" t="n"/>
      <c r="BP36" s="2" t="n"/>
      <c r="BQ36" s="2" t="n"/>
      <c r="BR36" s="2" t="n"/>
      <c r="BS36" s="2" t="n"/>
      <c r="BT36" s="2" t="n"/>
      <c r="BU36" s="2" t="n"/>
      <c r="BV36" s="2" t="n"/>
      <c r="BW36" s="2" t="n"/>
      <c r="BX36" s="2" t="n"/>
      <c r="BY36" s="2" t="n"/>
      <c r="BZ36" s="2" t="n"/>
      <c r="CA36" s="2" t="n"/>
      <c r="CB36" s="2" t="n"/>
      <c r="CC36" s="2" t="n"/>
      <c r="CD36" s="2" t="n"/>
      <c r="CE36" s="2" t="n"/>
      <c r="CF36" s="2" t="n"/>
      <c r="CG36" s="2" t="n"/>
      <c r="CH36" s="2" t="n"/>
      <c r="CI36" s="2" t="n"/>
      <c r="CJ36" s="2" t="n"/>
      <c r="CK36" s="2" t="n"/>
      <c r="CL36" s="2" t="n"/>
      <c r="CM36" s="2" t="n"/>
      <c r="CN36" s="2" t="n"/>
      <c r="CO36" s="2" t="n"/>
      <c r="CP36" s="2" t="n"/>
      <c r="CQ36" s="2" t="n"/>
      <c r="CR36" s="2" t="n"/>
      <c r="CS36" s="2" t="n"/>
      <c r="CT36" s="2" t="n"/>
      <c r="CU36" s="2" t="n"/>
      <c r="CV36" s="2" t="n"/>
      <c r="CW36" s="2" t="n"/>
      <c r="CX36" s="2" t="n"/>
      <c r="CY36" s="2" t="n"/>
      <c r="CZ36" s="2" t="n"/>
      <c r="DA36" s="2" t="n"/>
      <c r="DB36" s="2" t="n"/>
      <c r="DC36" s="2" t="n"/>
      <c r="DD36" s="2" t="n"/>
      <c r="DE36" s="2" t="n"/>
      <c r="DF36" s="2" t="n"/>
      <c r="DG36" s="2" t="n"/>
      <c r="DH36" s="2" t="n"/>
    </row>
    <row r="37" ht="12.75" customFormat="1" customHeight="1" s="76">
      <c r="A37" s="76" t="inlineStr">
        <is>
          <t>фон</t>
        </is>
      </c>
      <c r="B37" s="62" t="n"/>
      <c r="C37" s="66" t="n"/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6" t="n"/>
      <c r="N37" s="66" t="n"/>
      <c r="O37" s="58" t="n"/>
      <c r="P37" s="58" t="n"/>
      <c r="Q37" s="58" t="n"/>
      <c r="R37" s="58" t="n"/>
      <c r="S37" s="58" t="n"/>
      <c r="T37" s="58" t="n"/>
      <c r="U37" s="58" t="n"/>
      <c r="V37" s="58" t="n"/>
      <c r="W37" s="58" t="n"/>
      <c r="X37" s="58" t="n"/>
      <c r="Y37" s="58" t="n"/>
      <c r="Z37" s="58" t="n"/>
      <c r="AA37" s="58" t="n"/>
      <c r="AB37" s="58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  <c r="BA37" s="2" t="n"/>
      <c r="BB37" s="2" t="n"/>
      <c r="BC37" s="2" t="n"/>
      <c r="BD37" s="2" t="n"/>
      <c r="BE37" s="2" t="n"/>
      <c r="BF37" s="2" t="n"/>
      <c r="BG37" s="2" t="n"/>
      <c r="BH37" s="2" t="n"/>
      <c r="BI37" s="2" t="n"/>
      <c r="BJ37" s="2" t="n"/>
      <c r="BK37" s="2" t="n"/>
      <c r="BL37" s="2" t="n"/>
      <c r="BM37" s="2" t="n"/>
      <c r="BN37" s="2" t="n"/>
      <c r="BO37" s="2" t="n"/>
      <c r="BP37" s="2" t="n"/>
      <c r="BQ37" s="2" t="n"/>
      <c r="BR37" s="2" t="n"/>
      <c r="BS37" s="2" t="n"/>
      <c r="BT37" s="2" t="n"/>
      <c r="BU37" s="2" t="n"/>
      <c r="BV37" s="2" t="n"/>
      <c r="BW37" s="2" t="n"/>
      <c r="BX37" s="2" t="n"/>
      <c r="BY37" s="2" t="n"/>
      <c r="BZ37" s="2" t="n"/>
      <c r="CA37" s="2" t="n"/>
      <c r="CB37" s="2" t="n"/>
      <c r="CC37" s="2" t="n"/>
      <c r="CD37" s="2" t="n"/>
      <c r="CE37" s="2" t="n"/>
      <c r="CF37" s="2" t="n"/>
      <c r="CG37" s="2" t="n"/>
      <c r="CH37" s="2" t="n"/>
      <c r="CI37" s="2" t="n"/>
      <c r="CJ37" s="2" t="n"/>
      <c r="CK37" s="2" t="n"/>
      <c r="CL37" s="2" t="n"/>
      <c r="CM37" s="2" t="n"/>
      <c r="CN37" s="2" t="n"/>
      <c r="CO37" s="2" t="n"/>
      <c r="CP37" s="2" t="n"/>
      <c r="CQ37" s="2" t="n"/>
      <c r="CR37" s="2" t="n"/>
      <c r="CS37" s="2" t="n"/>
      <c r="CT37" s="2" t="n"/>
      <c r="CU37" s="2" t="n"/>
      <c r="CV37" s="2" t="n"/>
      <c r="CW37" s="2" t="n"/>
      <c r="CX37" s="2" t="n"/>
      <c r="CY37" s="2" t="n"/>
      <c r="CZ37" s="2" t="n"/>
      <c r="DA37" s="2" t="n"/>
      <c r="DB37" s="2" t="n"/>
      <c r="DC37" s="2" t="n"/>
      <c r="DD37" s="2" t="n"/>
      <c r="DE37" s="2" t="n"/>
      <c r="DF37" s="2" t="n"/>
      <c r="DG37" s="2" t="n"/>
      <c r="DH37" s="2" t="n"/>
    </row>
    <row r="38" ht="12.75" customFormat="1" customHeight="1" s="76">
      <c r="A38" s="76" t="inlineStr">
        <is>
          <t>персонажи</t>
        </is>
      </c>
      <c r="B38" s="62" t="n"/>
      <c r="C38" s="66" t="n"/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6" t="n"/>
      <c r="N38" s="66" t="n"/>
      <c r="O38" s="58" t="n"/>
      <c r="P38" s="58" t="n"/>
      <c r="Q38" s="58" t="n"/>
      <c r="R38" s="58" t="n"/>
      <c r="S38" s="58" t="n"/>
      <c r="T38" s="58" t="n"/>
      <c r="U38" s="58" t="n"/>
      <c r="V38" s="58" t="n"/>
      <c r="W38" s="58" t="n"/>
      <c r="X38" s="58" t="n"/>
      <c r="Y38" s="58" t="n"/>
      <c r="Z38" s="58" t="n"/>
      <c r="AA38" s="58" t="n"/>
      <c r="AB38" s="58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  <c r="BA38" s="2" t="n"/>
      <c r="BB38" s="2" t="n"/>
      <c r="BC38" s="2" t="n"/>
      <c r="BD38" s="2" t="n"/>
      <c r="BE38" s="2" t="n"/>
      <c r="BF38" s="2" t="n"/>
      <c r="BG38" s="2" t="n"/>
      <c r="BH38" s="2" t="n"/>
      <c r="BI38" s="2" t="n"/>
      <c r="BJ38" s="2" t="n"/>
      <c r="BK38" s="2" t="n"/>
      <c r="BL38" s="2" t="n"/>
      <c r="BM38" s="2" t="n"/>
      <c r="BN38" s="2" t="n"/>
      <c r="BO38" s="2" t="n"/>
      <c r="BP38" s="2" t="n"/>
      <c r="BQ38" s="2" t="n"/>
      <c r="BR38" s="2" t="n"/>
      <c r="BS38" s="2" t="n"/>
      <c r="BT38" s="2" t="n"/>
      <c r="BU38" s="2" t="n"/>
      <c r="BV38" s="2" t="n"/>
      <c r="BW38" s="2" t="n"/>
      <c r="BX38" s="2" t="n"/>
      <c r="BY38" s="2" t="n"/>
      <c r="BZ38" s="2" t="n"/>
      <c r="CA38" s="2" t="n"/>
      <c r="CB38" s="2" t="n"/>
      <c r="CC38" s="2" t="n"/>
      <c r="CD38" s="2" t="n"/>
      <c r="CE38" s="2" t="n"/>
      <c r="CF38" s="2" t="n"/>
      <c r="CG38" s="2" t="n"/>
      <c r="CH38" s="2" t="n"/>
      <c r="CI38" s="2" t="n"/>
      <c r="CJ38" s="2" t="n"/>
      <c r="CK38" s="2" t="n"/>
      <c r="CL38" s="2" t="n"/>
      <c r="CM38" s="2" t="n"/>
      <c r="CN38" s="2" t="n"/>
      <c r="CO38" s="2" t="n"/>
      <c r="CP38" s="2" t="n"/>
      <c r="CQ38" s="2" t="n"/>
      <c r="CR38" s="2" t="n"/>
      <c r="CS38" s="2" t="n"/>
      <c r="CT38" s="2" t="n"/>
      <c r="CU38" s="2" t="n"/>
      <c r="CV38" s="2" t="n"/>
      <c r="CW38" s="2" t="n"/>
      <c r="CX38" s="2" t="n"/>
      <c r="CY38" s="2" t="n"/>
      <c r="CZ38" s="2" t="n"/>
      <c r="DA38" s="2" t="n"/>
      <c r="DB38" s="2" t="n"/>
      <c r="DC38" s="2" t="n"/>
      <c r="DD38" s="2" t="n"/>
      <c r="DE38" s="2" t="n"/>
      <c r="DF38" s="2" t="n"/>
      <c r="DG38" s="2" t="n"/>
      <c r="DH38" s="2" t="n"/>
    </row>
    <row r="39" ht="12.75" customFormat="1" customHeight="1" s="76">
      <c r="A39" s="76" t="inlineStr">
        <is>
          <t>предметы</t>
        </is>
      </c>
      <c r="B39" s="62" t="n"/>
      <c r="C39" s="66" t="n"/>
      <c r="D39" s="66" t="n"/>
      <c r="E39" s="66" t="n"/>
      <c r="F39" s="66" t="n"/>
      <c r="G39" s="66" t="n"/>
      <c r="H39" s="66" t="n"/>
      <c r="I39" s="66" t="n"/>
      <c r="J39" s="66" t="n"/>
      <c r="K39" s="66" t="n"/>
      <c r="L39" s="66" t="n"/>
      <c r="M39" s="66" t="n"/>
      <c r="N39" s="66" t="n"/>
      <c r="O39" s="58" t="n"/>
      <c r="P39" s="58" t="n"/>
      <c r="Q39" s="58" t="n"/>
      <c r="R39" s="58" t="n"/>
      <c r="S39" s="58" t="n"/>
      <c r="T39" s="58" t="n"/>
      <c r="U39" s="58" t="n"/>
      <c r="V39" s="58" t="n"/>
      <c r="W39" s="58" t="n"/>
      <c r="X39" s="58" t="n"/>
      <c r="Y39" s="58" t="n"/>
      <c r="Z39" s="58" t="n"/>
      <c r="AA39" s="58" t="n"/>
      <c r="AB39" s="58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  <c r="BA39" s="2" t="n"/>
      <c r="BB39" s="2" t="n"/>
      <c r="BC39" s="2" t="n"/>
      <c r="BD39" s="2" t="n"/>
      <c r="BE39" s="2" t="n"/>
      <c r="BF39" s="2" t="n"/>
      <c r="BG39" s="2" t="n"/>
      <c r="BH39" s="2" t="n"/>
      <c r="BI39" s="2" t="n"/>
      <c r="BJ39" s="2" t="n"/>
      <c r="BK39" s="2" t="n"/>
      <c r="BL39" s="2" t="n"/>
      <c r="BM39" s="2" t="n"/>
      <c r="BN39" s="2" t="n"/>
      <c r="BO39" s="2" t="n"/>
      <c r="BP39" s="2" t="n"/>
      <c r="BQ39" s="2" t="n"/>
      <c r="BR39" s="2" t="n"/>
      <c r="BS39" s="2" t="n"/>
      <c r="BT39" s="2" t="n"/>
      <c r="BU39" s="2" t="n"/>
      <c r="BV39" s="2" t="n"/>
      <c r="BW39" s="2" t="n"/>
      <c r="BX39" s="2" t="n"/>
      <c r="BY39" s="2" t="n"/>
      <c r="BZ39" s="2" t="n"/>
      <c r="CA39" s="2" t="n"/>
      <c r="CB39" s="2" t="n"/>
      <c r="CC39" s="2" t="n"/>
      <c r="CD39" s="2" t="n"/>
      <c r="CE39" s="2" t="n"/>
      <c r="CF39" s="2" t="n"/>
      <c r="CG39" s="2" t="n"/>
      <c r="CH39" s="2" t="n"/>
      <c r="CI39" s="2" t="n"/>
      <c r="CJ39" s="2" t="n"/>
      <c r="CK39" s="2" t="n"/>
      <c r="CL39" s="2" t="n"/>
      <c r="CM39" s="2" t="n"/>
      <c r="CN39" s="2" t="n"/>
      <c r="CO39" s="2" t="n"/>
      <c r="CP39" s="2" t="n"/>
      <c r="CQ39" s="2" t="n"/>
      <c r="CR39" s="2" t="n"/>
      <c r="CS39" s="2" t="n"/>
      <c r="CT39" s="2" t="n"/>
      <c r="CU39" s="2" t="n"/>
      <c r="CV39" s="2" t="n"/>
      <c r="CW39" s="2" t="n"/>
      <c r="CX39" s="2" t="n"/>
      <c r="CY39" s="2" t="n"/>
      <c r="CZ39" s="2" t="n"/>
      <c r="DA39" s="2" t="n"/>
      <c r="DB39" s="2" t="n"/>
      <c r="DC39" s="2" t="n"/>
      <c r="DD39" s="2" t="n"/>
      <c r="DE39" s="2" t="n"/>
      <c r="DF39" s="2" t="n"/>
      <c r="DG39" s="2" t="n"/>
      <c r="DH39" s="2" t="n"/>
    </row>
    <row r="40" ht="38.1" customFormat="1" customHeight="1" s="76">
      <c r="A40" s="76" t="inlineStr">
        <is>
          <t>действие</t>
        </is>
      </c>
      <c r="B40" s="62" t="n"/>
      <c r="C40" s="72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58" t="n"/>
      <c r="P40" s="58" t="n"/>
      <c r="Q40" s="58" t="n"/>
      <c r="R40" s="58" t="n"/>
      <c r="S40" s="58" t="n"/>
      <c r="T40" s="58" t="n"/>
      <c r="U40" s="58" t="n"/>
      <c r="V40" s="58" t="n"/>
      <c r="W40" s="58" t="n"/>
      <c r="X40" s="58" t="n"/>
      <c r="Y40" s="58" t="n"/>
      <c r="Z40" s="58" t="n"/>
      <c r="AA40" s="58" t="n"/>
      <c r="AB40" s="58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  <c r="BA40" s="2" t="n"/>
      <c r="BB40" s="2" t="n"/>
      <c r="BC40" s="2" t="n"/>
      <c r="BD40" s="2" t="n"/>
      <c r="BE40" s="2" t="n"/>
      <c r="BF40" s="2" t="n"/>
      <c r="BG40" s="2" t="n"/>
      <c r="BH40" s="2" t="n"/>
      <c r="BI40" s="2" t="n"/>
      <c r="BJ40" s="2" t="n"/>
      <c r="BK40" s="2" t="n"/>
      <c r="BL40" s="2" t="n"/>
      <c r="BM40" s="2" t="n"/>
      <c r="BN40" s="2" t="n"/>
      <c r="BO40" s="2" t="n"/>
      <c r="BP40" s="2" t="n"/>
      <c r="BQ40" s="2" t="n"/>
      <c r="BR40" s="2" t="n"/>
      <c r="BS40" s="2" t="n"/>
      <c r="BT40" s="2" t="n"/>
      <c r="BU40" s="2" t="n"/>
      <c r="BV40" s="2" t="n"/>
      <c r="BW40" s="2" t="n"/>
      <c r="BX40" s="2" t="n"/>
      <c r="BY40" s="2" t="n"/>
      <c r="BZ40" s="2" t="n"/>
      <c r="CA40" s="2" t="n"/>
      <c r="CB40" s="2" t="n"/>
      <c r="CC40" s="2" t="n"/>
      <c r="CD40" s="2" t="n"/>
      <c r="CE40" s="2" t="n"/>
      <c r="CF40" s="2" t="n"/>
      <c r="CG40" s="2" t="n"/>
      <c r="CH40" s="2" t="n"/>
      <c r="CI40" s="2" t="n"/>
      <c r="CJ40" s="2" t="n"/>
      <c r="CK40" s="2" t="n"/>
      <c r="CL40" s="2" t="n"/>
      <c r="CM40" s="2" t="n"/>
      <c r="CN40" s="2" t="n"/>
      <c r="CO40" s="2" t="n"/>
      <c r="CP40" s="2" t="n"/>
      <c r="CQ40" s="2" t="n"/>
      <c r="CR40" s="2" t="n"/>
      <c r="CS40" s="2" t="n"/>
      <c r="CT40" s="2" t="n"/>
      <c r="CU40" s="2" t="n"/>
      <c r="CV40" s="2" t="n"/>
      <c r="CW40" s="2" t="n"/>
      <c r="CX40" s="2" t="n"/>
      <c r="CY40" s="2" t="n"/>
      <c r="CZ40" s="2" t="n"/>
      <c r="DA40" s="2" t="n"/>
      <c r="DB40" s="2" t="n"/>
      <c r="DC40" s="2" t="n"/>
      <c r="DD40" s="2" t="n"/>
      <c r="DE40" s="2" t="n"/>
      <c r="DF40" s="2" t="n"/>
      <c r="DG40" s="2" t="n"/>
      <c r="DH40" s="2" t="n"/>
    </row>
    <row r="41" ht="54" customFormat="1" customHeight="1" s="76">
      <c r="A41" s="76" t="inlineStr">
        <is>
          <t>описание кадра</t>
        </is>
      </c>
      <c r="B41" s="2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58" t="n"/>
      <c r="P41" s="58" t="n"/>
      <c r="Q41" s="58" t="n"/>
      <c r="R41" s="58" t="n"/>
      <c r="S41" s="58" t="n"/>
      <c r="T41" s="58" t="n"/>
      <c r="U41" s="58" t="n"/>
      <c r="V41" s="58" t="n"/>
      <c r="W41" s="58" t="n"/>
      <c r="X41" s="58" t="n"/>
      <c r="Y41" s="58" t="n"/>
      <c r="Z41" s="58" t="n"/>
      <c r="AA41" s="58" t="n"/>
      <c r="AB41" s="58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  <c r="BA41" s="2" t="n"/>
      <c r="BB41" s="2" t="n"/>
      <c r="BC41" s="2" t="n"/>
      <c r="BD41" s="2" t="n"/>
      <c r="BE41" s="2" t="n"/>
      <c r="BF41" s="2" t="n"/>
      <c r="BG41" s="2" t="n"/>
      <c r="BH41" s="2" t="n"/>
      <c r="BI41" s="2" t="n"/>
      <c r="BJ41" s="2" t="n"/>
      <c r="BK41" s="2" t="n"/>
      <c r="BL41" s="2" t="n"/>
      <c r="BM41" s="2" t="n"/>
      <c r="BN41" s="2" t="n"/>
      <c r="BO41" s="2" t="n"/>
      <c r="BP41" s="2" t="n"/>
      <c r="BQ41" s="2" t="n"/>
      <c r="BR41" s="2" t="n"/>
      <c r="BS41" s="2" t="n"/>
      <c r="BT41" s="2" t="n"/>
      <c r="BU41" s="2" t="n"/>
      <c r="BV41" s="2" t="n"/>
      <c r="BW41" s="2" t="n"/>
      <c r="BX41" s="2" t="n"/>
      <c r="BY41" s="2" t="n"/>
      <c r="BZ41" s="2" t="n"/>
      <c r="CA41" s="2" t="n"/>
      <c r="CB41" s="2" t="n"/>
      <c r="CC41" s="2" t="n"/>
      <c r="CD41" s="2" t="n"/>
      <c r="CE41" s="2" t="n"/>
      <c r="CF41" s="2" t="n"/>
      <c r="CG41" s="2" t="n"/>
      <c r="CH41" s="2" t="n"/>
      <c r="CI41" s="2" t="n"/>
      <c r="CJ41" s="2" t="n"/>
      <c r="CK41" s="2" t="n"/>
      <c r="CL41" s="2" t="n"/>
      <c r="CM41" s="2" t="n"/>
      <c r="CN41" s="2" t="n"/>
      <c r="CO41" s="2" t="n"/>
      <c r="CP41" s="2" t="n"/>
      <c r="CQ41" s="2" t="n"/>
      <c r="CR41" s="2" t="n"/>
      <c r="CS41" s="2" t="n"/>
      <c r="CT41" s="2" t="n"/>
      <c r="CU41" s="2" t="n"/>
      <c r="CV41" s="2" t="n"/>
      <c r="CW41" s="2" t="n"/>
      <c r="CX41" s="2" t="n"/>
      <c r="CY41" s="2" t="n"/>
      <c r="CZ41" s="2" t="n"/>
      <c r="DA41" s="2" t="n"/>
      <c r="DB41" s="2" t="n"/>
      <c r="DC41" s="2" t="n"/>
      <c r="DD41" s="2" t="n"/>
      <c r="DE41" s="2" t="n"/>
      <c r="DF41" s="2" t="n"/>
      <c r="DG41" s="2" t="n"/>
      <c r="DH41" s="2" t="n"/>
    </row>
    <row r="42" ht="38.1" customFormat="1" customHeight="1" s="76">
      <c r="A42" s="76" t="inlineStr">
        <is>
          <t>логика перехода</t>
        </is>
      </c>
      <c r="B42" s="2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58" t="n"/>
      <c r="P42" s="58" t="n"/>
      <c r="Q42" s="58" t="n"/>
      <c r="R42" s="58" t="n"/>
      <c r="S42" s="58" t="n"/>
      <c r="T42" s="58" t="n"/>
      <c r="U42" s="58" t="n"/>
      <c r="V42" s="58" t="n"/>
      <c r="W42" s="58" t="n"/>
      <c r="X42" s="58" t="n"/>
      <c r="Y42" s="58" t="n"/>
      <c r="Z42" s="58" t="n"/>
      <c r="AA42" s="58" t="n"/>
      <c r="AB42" s="58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 t="n"/>
      <c r="AV42" s="2" t="n"/>
      <c r="AW42" s="2" t="n"/>
      <c r="AX42" s="2" t="n"/>
      <c r="AY42" s="2" t="n"/>
      <c r="AZ42" s="2" t="n"/>
      <c r="BA42" s="2" t="n"/>
      <c r="BB42" s="2" t="n"/>
      <c r="BC42" s="2" t="n"/>
      <c r="BD42" s="2" t="n"/>
      <c r="BE42" s="2" t="n"/>
      <c r="BF42" s="2" t="n"/>
      <c r="BG42" s="2" t="n"/>
      <c r="BH42" s="2" t="n"/>
      <c r="BI42" s="2" t="n"/>
      <c r="BJ42" s="2" t="n"/>
      <c r="BK42" s="2" t="n"/>
      <c r="BL42" s="2" t="n"/>
      <c r="BM42" s="2" t="n"/>
      <c r="BN42" s="2" t="n"/>
      <c r="BO42" s="2" t="n"/>
      <c r="BP42" s="2" t="n"/>
      <c r="BQ42" s="2" t="n"/>
      <c r="BR42" s="2" t="n"/>
      <c r="BS42" s="2" t="n"/>
      <c r="BT42" s="2" t="n"/>
      <c r="BU42" s="2" t="n"/>
      <c r="BV42" s="2" t="n"/>
      <c r="BW42" s="2" t="n"/>
      <c r="BX42" s="2" t="n"/>
      <c r="BY42" s="2" t="n"/>
      <c r="BZ42" s="2" t="n"/>
      <c r="CA42" s="2" t="n"/>
      <c r="CB42" s="2" t="n"/>
      <c r="CC42" s="2" t="n"/>
      <c r="CD42" s="2" t="n"/>
      <c r="CE42" s="2" t="n"/>
      <c r="CF42" s="2" t="n"/>
      <c r="CG42" s="2" t="n"/>
      <c r="CH42" s="2" t="n"/>
      <c r="CI42" s="2" t="n"/>
      <c r="CJ42" s="2" t="n"/>
      <c r="CK42" s="2" t="n"/>
      <c r="CL42" s="2" t="n"/>
      <c r="CM42" s="2" t="n"/>
      <c r="CN42" s="2" t="n"/>
      <c r="CO42" s="2" t="n"/>
      <c r="CP42" s="2" t="n"/>
      <c r="CQ42" s="2" t="n"/>
      <c r="CR42" s="2" t="n"/>
      <c r="CS42" s="2" t="n"/>
      <c r="CT42" s="2" t="n"/>
      <c r="CU42" s="2" t="n"/>
      <c r="CV42" s="2" t="n"/>
      <c r="CW42" s="2" t="n"/>
      <c r="CX42" s="2" t="n"/>
      <c r="CY42" s="2" t="n"/>
      <c r="CZ42" s="2" t="n"/>
      <c r="DA42" s="2" t="n"/>
      <c r="DB42" s="2" t="n"/>
      <c r="DC42" s="2" t="n"/>
      <c r="DD42" s="2" t="n"/>
      <c r="DE42" s="2" t="n"/>
      <c r="DF42" s="2" t="n"/>
      <c r="DG42" s="2" t="n"/>
      <c r="DH42" s="2" t="n"/>
    </row>
    <row r="43" ht="38.1" customFormat="1" customHeight="1" s="76">
      <c r="A43" s="76" t="inlineStr">
        <is>
          <t>заметки по консистенции</t>
        </is>
      </c>
      <c r="B43" s="2" t="n"/>
      <c r="C43" s="66" t="n"/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6" t="n"/>
      <c r="O43" s="58" t="n"/>
      <c r="P43" s="58" t="n"/>
      <c r="Q43" s="58" t="n"/>
      <c r="R43" s="58" t="n"/>
      <c r="S43" s="58" t="n"/>
      <c r="T43" s="58" t="n"/>
      <c r="U43" s="58" t="n"/>
      <c r="V43" s="58" t="n"/>
      <c r="W43" s="58" t="n"/>
      <c r="X43" s="58" t="n"/>
      <c r="Y43" s="58" t="n"/>
      <c r="Z43" s="58" t="n"/>
      <c r="AA43" s="58" t="n"/>
      <c r="AB43" s="58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  <c r="BA43" s="2" t="n"/>
      <c r="BB43" s="2" t="n"/>
      <c r="BC43" s="2" t="n"/>
      <c r="BD43" s="2" t="n"/>
      <c r="BE43" s="2" t="n"/>
      <c r="BF43" s="2" t="n"/>
      <c r="BG43" s="2" t="n"/>
      <c r="BH43" s="2" t="n"/>
      <c r="BI43" s="2" t="n"/>
      <c r="BJ43" s="2" t="n"/>
      <c r="BK43" s="2" t="n"/>
      <c r="BL43" s="2" t="n"/>
      <c r="BM43" s="2" t="n"/>
      <c r="BN43" s="2" t="n"/>
      <c r="BO43" s="2" t="n"/>
      <c r="BP43" s="2" t="n"/>
      <c r="BQ43" s="2" t="n"/>
      <c r="BR43" s="2" t="n"/>
      <c r="BS43" s="2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  <c r="CH43" s="2" t="n"/>
      <c r="CI43" s="2" t="n"/>
      <c r="CJ43" s="2" t="n"/>
      <c r="CK43" s="2" t="n"/>
      <c r="CL43" s="2" t="n"/>
      <c r="CM43" s="2" t="n"/>
      <c r="CN43" s="2" t="n"/>
      <c r="CO43" s="2" t="n"/>
      <c r="CP43" s="2" t="n"/>
      <c r="CQ43" s="2" t="n"/>
      <c r="CR43" s="2" t="n"/>
      <c r="CS43" s="2" t="n"/>
      <c r="CT43" s="2" t="n"/>
      <c r="CU43" s="2" t="n"/>
      <c r="CV43" s="2" t="n"/>
      <c r="CW43" s="2" t="n"/>
      <c r="CX43" s="2" t="n"/>
      <c r="CY43" s="2" t="n"/>
      <c r="CZ43" s="2" t="n"/>
      <c r="DA43" s="2" t="n"/>
      <c r="DB43" s="2" t="n"/>
      <c r="DC43" s="2" t="n"/>
      <c r="DD43" s="2" t="n"/>
      <c r="DE43" s="2" t="n"/>
      <c r="DF43" s="2" t="n"/>
      <c r="DG43" s="2" t="n"/>
      <c r="DH43" s="2" t="n"/>
    </row>
    <row r="44" ht="38.1" customFormat="1" customHeight="1" s="76">
      <c r="A44" s="76" t="inlineStr">
        <is>
          <t>статус</t>
        </is>
      </c>
      <c r="B44" s="2" t="n"/>
      <c r="C44" s="66" t="n"/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58" t="n"/>
      <c r="P44" s="58" t="n"/>
      <c r="Q44" s="58" t="n"/>
      <c r="R44" s="58" t="n"/>
      <c r="S44" s="58" t="n"/>
      <c r="T44" s="58" t="n"/>
      <c r="U44" s="58" t="n"/>
      <c r="V44" s="58" t="n"/>
      <c r="W44" s="58" t="n"/>
      <c r="X44" s="58" t="n"/>
      <c r="Y44" s="58" t="n"/>
      <c r="Z44" s="58" t="n"/>
      <c r="AA44" s="58" t="n"/>
      <c r="AB44" s="58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  <c r="BA44" s="2" t="n"/>
      <c r="BB44" s="2" t="n"/>
      <c r="BC44" s="2" t="n"/>
      <c r="BD44" s="2" t="n"/>
      <c r="BE44" s="2" t="n"/>
      <c r="BF44" s="2" t="n"/>
      <c r="BG44" s="2" t="n"/>
      <c r="BH44" s="2" t="n"/>
      <c r="BI44" s="2" t="n"/>
      <c r="BJ44" s="2" t="n"/>
      <c r="BK44" s="2" t="n"/>
      <c r="BL44" s="2" t="n"/>
      <c r="BM44" s="2" t="n"/>
      <c r="BN44" s="2" t="n"/>
      <c r="BO44" s="2" t="n"/>
      <c r="BP44" s="2" t="n"/>
      <c r="BQ44" s="2" t="n"/>
      <c r="BR44" s="2" t="n"/>
      <c r="BS44" s="2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  <c r="CH44" s="2" t="n"/>
      <c r="CI44" s="2" t="n"/>
      <c r="CJ44" s="2" t="n"/>
      <c r="CK44" s="2" t="n"/>
      <c r="CL44" s="2" t="n"/>
      <c r="CM44" s="2" t="n"/>
      <c r="CN44" s="2" t="n"/>
      <c r="CO44" s="2" t="n"/>
      <c r="CP44" s="2" t="n"/>
      <c r="CQ44" s="2" t="n"/>
      <c r="CR44" s="2" t="n"/>
      <c r="CS44" s="2" t="n"/>
      <c r="CT44" s="2" t="n"/>
      <c r="CU44" s="2" t="n"/>
      <c r="CV44" s="2" t="n"/>
      <c r="CW44" s="2" t="n"/>
      <c r="CX44" s="2" t="n"/>
      <c r="CY44" s="2" t="n"/>
      <c r="CZ44" s="2" t="n"/>
      <c r="DA44" s="2" t="n"/>
      <c r="DB44" s="2" t="n"/>
      <c r="DC44" s="2" t="n"/>
      <c r="DD44" s="2" t="n"/>
      <c r="DE44" s="2" t="n"/>
      <c r="DF44" s="2" t="n"/>
      <c r="DG44" s="2" t="n"/>
      <c r="DH44" s="2" t="n"/>
    </row>
    <row r="45" ht="300" customFormat="1" customHeight="1" s="76">
      <c r="A45" s="74" t="inlineStr">
        <is>
          <t>промт для картинки 1</t>
        </is>
      </c>
      <c r="B45" s="2" t="n"/>
      <c r="C45" s="66" t="n"/>
      <c r="D45" s="66" t="n"/>
      <c r="E45" s="66" t="n"/>
      <c r="F45" s="66" t="n"/>
      <c r="G45" s="66" t="n"/>
      <c r="H45" s="66" t="n"/>
      <c r="I45" s="66" t="n"/>
      <c r="J45" s="66" t="n"/>
      <c r="K45" s="66" t="n"/>
      <c r="L45" s="66" t="n"/>
      <c r="M45" s="66" t="n"/>
      <c r="N45" s="66" t="n"/>
      <c r="O45" s="58" t="n"/>
      <c r="P45" s="58" t="n"/>
      <c r="Q45" s="58" t="n"/>
      <c r="R45" s="58" t="n"/>
      <c r="S45" s="58" t="n"/>
      <c r="T45" s="58" t="n"/>
      <c r="U45" s="58" t="n"/>
      <c r="V45" s="58" t="n"/>
      <c r="W45" s="58" t="n"/>
      <c r="X45" s="58" t="n"/>
      <c r="Y45" s="58" t="n"/>
      <c r="Z45" s="58" t="n"/>
      <c r="AA45" s="58" t="n"/>
      <c r="AB45" s="58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  <c r="BA45" s="2" t="n"/>
      <c r="BB45" s="2" t="n"/>
      <c r="BC45" s="2" t="n"/>
      <c r="BD45" s="2" t="n"/>
      <c r="BE45" s="2" t="n"/>
      <c r="BF45" s="2" t="n"/>
      <c r="BG45" s="2" t="n"/>
      <c r="BH45" s="2" t="n"/>
      <c r="BI45" s="2" t="n"/>
      <c r="BJ45" s="2" t="n"/>
      <c r="BK45" s="2" t="n"/>
      <c r="BL45" s="2" t="n"/>
      <c r="BM45" s="2" t="n"/>
      <c r="BN45" s="2" t="n"/>
      <c r="BO45" s="2" t="n"/>
      <c r="BP45" s="2" t="n"/>
      <c r="BQ45" s="2" t="n"/>
      <c r="BR45" s="2" t="n"/>
      <c r="BS45" s="2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  <c r="CH45" s="2" t="n"/>
      <c r="CI45" s="2" t="n"/>
      <c r="CJ45" s="2" t="n"/>
      <c r="CK45" s="2" t="n"/>
      <c r="CL45" s="2" t="n"/>
      <c r="CM45" s="2" t="n"/>
      <c r="CN45" s="2" t="n"/>
      <c r="CO45" s="2" t="n"/>
      <c r="CP45" s="2" t="n"/>
      <c r="CQ45" s="2" t="n"/>
      <c r="CR45" s="2" t="n"/>
      <c r="CS45" s="2" t="n"/>
      <c r="CT45" s="2" t="n"/>
      <c r="CU45" s="2" t="n"/>
      <c r="CV45" s="2" t="n"/>
      <c r="CW45" s="2" t="n"/>
      <c r="CX45" s="2" t="n"/>
      <c r="CY45" s="2" t="n"/>
      <c r="CZ45" s="2" t="n"/>
      <c r="DA45" s="2" t="n"/>
      <c r="DB45" s="2" t="n"/>
      <c r="DC45" s="2" t="n"/>
      <c r="DD45" s="2" t="n"/>
      <c r="DE45" s="2" t="n"/>
      <c r="DF45" s="2" t="n"/>
      <c r="DG45" s="2" t="n"/>
      <c r="DH45" s="2" t="n"/>
    </row>
    <row r="46" ht="360" customFormat="1" customHeight="1" s="76">
      <c r="A46" s="74" t="inlineStr">
        <is>
          <t>промт для картинки 2</t>
        </is>
      </c>
      <c r="B46" s="2" t="n"/>
      <c r="C46" s="66" t="n"/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58" t="n"/>
      <c r="P46" s="58" t="n"/>
      <c r="Q46" s="58" t="n"/>
      <c r="R46" s="58" t="n"/>
      <c r="S46" s="58" t="n"/>
      <c r="T46" s="58" t="n"/>
      <c r="U46" s="58" t="n"/>
      <c r="V46" s="58" t="n"/>
      <c r="W46" s="58" t="n"/>
      <c r="X46" s="58" t="n"/>
      <c r="Y46" s="58" t="n"/>
      <c r="Z46" s="58" t="n"/>
      <c r="AA46" s="58" t="n"/>
      <c r="AB46" s="58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  <c r="AU46" s="2" t="n"/>
      <c r="AV46" s="2" t="n"/>
      <c r="AW46" s="2" t="n"/>
      <c r="AX46" s="2" t="n"/>
      <c r="AY46" s="2" t="n"/>
      <c r="AZ46" s="2" t="n"/>
      <c r="BA46" s="2" t="n"/>
      <c r="BB46" s="2" t="n"/>
      <c r="BC46" s="2" t="n"/>
      <c r="BD46" s="2" t="n"/>
      <c r="BE46" s="2" t="n"/>
      <c r="BF46" s="2" t="n"/>
      <c r="BG46" s="2" t="n"/>
      <c r="BH46" s="2" t="n"/>
      <c r="BI46" s="2" t="n"/>
      <c r="BJ46" s="2" t="n"/>
      <c r="BK46" s="2" t="n"/>
      <c r="BL46" s="2" t="n"/>
      <c r="BM46" s="2" t="n"/>
      <c r="BN46" s="2" t="n"/>
      <c r="BO46" s="2" t="n"/>
      <c r="BP46" s="2" t="n"/>
      <c r="BQ46" s="2" t="n"/>
      <c r="BR46" s="2" t="n"/>
      <c r="BS46" s="2" t="n"/>
      <c r="BT46" s="2" t="n"/>
      <c r="BU46" s="2" t="n"/>
      <c r="BV46" s="2" t="n"/>
      <c r="BW46" s="2" t="n"/>
      <c r="BX46" s="2" t="n"/>
      <c r="BY46" s="2" t="n"/>
      <c r="BZ46" s="2" t="n"/>
      <c r="CA46" s="2" t="n"/>
      <c r="CB46" s="2" t="n"/>
      <c r="CC46" s="2" t="n"/>
      <c r="CD46" s="2" t="n"/>
      <c r="CE46" s="2" t="n"/>
      <c r="CF46" s="2" t="n"/>
      <c r="CG46" s="2" t="n"/>
      <c r="CH46" s="2" t="n"/>
      <c r="CI46" s="2" t="n"/>
      <c r="CJ46" s="2" t="n"/>
      <c r="CK46" s="2" t="n"/>
      <c r="CL46" s="2" t="n"/>
      <c r="CM46" s="2" t="n"/>
      <c r="CN46" s="2" t="n"/>
      <c r="CO46" s="2" t="n"/>
      <c r="CP46" s="2" t="n"/>
      <c r="CQ46" s="2" t="n"/>
      <c r="CR46" s="2" t="n"/>
      <c r="CS46" s="2" t="n"/>
      <c r="CT46" s="2" t="n"/>
      <c r="CU46" s="2" t="n"/>
      <c r="CV46" s="2" t="n"/>
      <c r="CW46" s="2" t="n"/>
      <c r="CX46" s="2" t="n"/>
      <c r="CY46" s="2" t="n"/>
      <c r="CZ46" s="2" t="n"/>
      <c r="DA46" s="2" t="n"/>
      <c r="DB46" s="2" t="n"/>
      <c r="DC46" s="2" t="n"/>
      <c r="DD46" s="2" t="n"/>
      <c r="DE46" s="2" t="n"/>
      <c r="DF46" s="2" t="n"/>
      <c r="DG46" s="2" t="n"/>
      <c r="DH46" s="2" t="n"/>
    </row>
    <row r="47" ht="409.5" customFormat="1" customHeight="1" s="76">
      <c r="A47" s="74" t="inlineStr">
        <is>
          <t>промт для картинки 3</t>
        </is>
      </c>
      <c r="B47" s="74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58" t="n"/>
      <c r="L47" s="58" t="n"/>
      <c r="M47" s="58" t="n"/>
      <c r="N47" s="58" t="n"/>
      <c r="O47" s="58" t="n"/>
      <c r="P47" s="58" t="n"/>
      <c r="Q47" s="58" t="n"/>
      <c r="R47" s="58" t="n"/>
      <c r="S47" s="58" t="n"/>
      <c r="T47" s="58" t="n"/>
      <c r="U47" s="58" t="n"/>
      <c r="V47" s="58" t="n"/>
      <c r="W47" s="58" t="n"/>
      <c r="X47" s="58" t="n"/>
      <c r="Y47" s="58" t="n"/>
      <c r="Z47" s="58" t="n"/>
      <c r="AA47" s="58" t="n"/>
      <c r="AB47" s="58" t="n"/>
    </row>
    <row r="48" ht="138.75" customFormat="1" customHeight="1" s="76">
      <c r="A48" s="80" t="inlineStr">
        <is>
          <t>промт для видео</t>
        </is>
      </c>
    </row>
    <row r="49" ht="38.1" customFormat="1" customHeight="1" s="76">
      <c r="A49" s="80" t="inlineStr">
        <is>
          <t>закадровый текст</t>
        </is>
      </c>
      <c r="B49" s="2" t="n"/>
      <c r="C49" s="58" t="n"/>
      <c r="D49" s="58" t="n"/>
      <c r="E49" s="58" t="n"/>
      <c r="F49" s="58" t="n"/>
      <c r="G49" s="58" t="n"/>
      <c r="H49" s="58" t="n"/>
      <c r="I49" s="58" t="n"/>
      <c r="J49" s="58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8" t="n"/>
      <c r="U49" s="58" t="n"/>
      <c r="V49" s="58" t="n"/>
      <c r="W49" s="58" t="n"/>
      <c r="X49" s="58" t="n"/>
      <c r="Y49" s="58" t="n"/>
      <c r="Z49" s="58" t="n"/>
      <c r="AA49" s="58" t="n"/>
      <c r="AB49" s="58" t="n"/>
    </row>
    <row r="50" ht="45" customFormat="1" customHeight="1" s="76">
      <c r="A50" s="76" t="inlineStr">
        <is>
          <t>Время на кадр</t>
        </is>
      </c>
      <c r="B50" s="2" t="n"/>
      <c r="C50" s="73" t="n"/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3" t="n"/>
      <c r="S50" s="73" t="n"/>
      <c r="T50" s="73" t="n"/>
      <c r="U50" s="73" t="n"/>
      <c r="V50" s="73" t="n"/>
      <c r="W50" s="73" t="n"/>
      <c r="X50" s="73" t="n"/>
      <c r="Y50" s="73" t="n"/>
      <c r="Z50" s="73" t="n"/>
      <c r="AA50" s="73" t="n"/>
      <c r="AB50" s="73" t="n"/>
    </row>
    <row r="51" ht="38.1" customFormat="1" customHeight="1" s="76">
      <c r="A51" s="80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58" t="n"/>
      <c r="L51" s="58" t="n"/>
      <c r="M51" s="58" t="n"/>
      <c r="N51" s="58" t="n"/>
      <c r="O51" s="58" t="n"/>
      <c r="P51" s="58" t="n"/>
      <c r="Q51" s="58" t="n"/>
      <c r="R51" s="58" t="n"/>
      <c r="S51" s="58" t="n"/>
      <c r="T51" s="58" t="n"/>
      <c r="U51" s="58" t="n"/>
      <c r="V51" s="58" t="n"/>
      <c r="W51" s="58" t="n"/>
      <c r="X51" s="58" t="n"/>
      <c r="Y51" s="58" t="n"/>
      <c r="Z51" s="58" t="n"/>
      <c r="AA51" s="58" t="n"/>
      <c r="AB51" s="58" t="n"/>
    </row>
    <row r="52" ht="120" customFormat="1" customHeight="1" s="76">
      <c r="A52" s="79" t="inlineStr">
        <is>
          <t>главное действие в кадре</t>
        </is>
      </c>
      <c r="B52" s="82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  <c r="AA52" s="29" t="n"/>
      <c r="AB52" s="29" t="n"/>
    </row>
    <row r="53" ht="21.95" customFormat="1" customHeight="1" s="76">
      <c r="A53" s="30" t="n"/>
      <c r="B53" s="31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31" t="n"/>
      <c r="AQ53" s="31" t="n"/>
      <c r="AR53" s="31" t="n"/>
      <c r="AS53" s="31" t="n"/>
      <c r="AT53" s="31" t="n"/>
      <c r="AU53" s="31" t="n"/>
      <c r="AV53" s="31" t="n"/>
      <c r="AW53" s="31" t="n"/>
      <c r="AX53" s="31" t="n"/>
      <c r="AY53" s="31" t="n"/>
      <c r="AZ53" s="31" t="n"/>
      <c r="BA53" s="31" t="n"/>
      <c r="BB53" s="31" t="n"/>
      <c r="BC53" s="31" t="n"/>
      <c r="BD53" s="31" t="n"/>
      <c r="BE53" s="31" t="n"/>
      <c r="BF53" s="31" t="n"/>
      <c r="BG53" s="31" t="n"/>
      <c r="BH53" s="31" t="n"/>
      <c r="BI53" s="31" t="n"/>
      <c r="BJ53" s="31" t="n"/>
      <c r="BK53" s="31" t="n"/>
      <c r="BL53" s="31" t="n"/>
      <c r="BM53" s="31" t="n"/>
      <c r="BN53" s="31" t="n"/>
      <c r="BO53" s="31" t="n"/>
      <c r="BP53" s="31" t="n"/>
      <c r="BQ53" s="31" t="n"/>
      <c r="BR53" s="31" t="n"/>
      <c r="BS53" s="31" t="n"/>
      <c r="BT53" s="31" t="n"/>
      <c r="BU53" s="31" t="n"/>
      <c r="BV53" s="31" t="n"/>
      <c r="BW53" s="31" t="n"/>
      <c r="BX53" s="31" t="n"/>
      <c r="BY53" s="31" t="n"/>
      <c r="BZ53" s="31" t="n"/>
      <c r="CA53" s="31" t="n"/>
      <c r="CB53" s="31" t="n"/>
      <c r="CC53" s="31" t="n"/>
      <c r="CD53" s="31" t="n"/>
      <c r="CE53" s="31" t="n"/>
      <c r="CF53" s="31" t="n"/>
      <c r="CG53" s="31" t="n"/>
      <c r="CH53" s="31" t="n"/>
      <c r="CI53" s="31" t="n"/>
      <c r="CJ53" s="31" t="n"/>
      <c r="CK53" s="31" t="n"/>
      <c r="CL53" s="31" t="n"/>
      <c r="CM53" s="32" t="n"/>
      <c r="CN53" s="2" t="n"/>
      <c r="CO53" s="2" t="n"/>
      <c r="CP53" s="2" t="n"/>
      <c r="CQ53" s="2" t="n"/>
      <c r="CR53" s="2" t="n"/>
      <c r="CS53" s="2" t="n"/>
      <c r="CT53" s="2" t="n"/>
      <c r="CU53" s="2" t="n"/>
      <c r="CV53" s="2" t="n"/>
      <c r="CW53" s="2" t="n"/>
      <c r="CX53" s="2" t="n"/>
      <c r="CY53" s="2" t="n"/>
      <c r="CZ53" s="2" t="n"/>
      <c r="DA53" s="2" t="n"/>
      <c r="DB53" s="2" t="n"/>
      <c r="DC53" s="2" t="n"/>
      <c r="DD53" s="2" t="n"/>
      <c r="DE53" s="2" t="n"/>
      <c r="DF53" s="2" t="n"/>
      <c r="DG53" s="2" t="n"/>
      <c r="DH53" s="2" t="n"/>
    </row>
    <row r="54" ht="38.1" customFormat="1" customHeight="1" s="76">
      <c r="A54" s="33" t="inlineStr">
        <is>
          <t>Герой кадра</t>
        </is>
      </c>
      <c r="B54" t="inlineStr">
        <is>
          <t>Кто главный в этом моменте? Чья это сцена?</t>
        </is>
      </c>
      <c r="C54" s="29" t="n"/>
      <c r="D54" s="64" t="n"/>
      <c r="E54" s="64" t="n"/>
      <c r="F54" s="64" t="n"/>
      <c r="G54" s="64" t="n"/>
      <c r="H54" s="64" t="n"/>
      <c r="I54" s="64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  <c r="T54" s="64" t="n"/>
      <c r="U54" s="64" t="n"/>
      <c r="V54" s="64" t="n"/>
      <c r="W54" s="64" t="n"/>
      <c r="X54" s="64" t="n"/>
      <c r="Y54" s="64" t="n"/>
      <c r="Z54" s="64" t="n"/>
      <c r="AA54" s="64" t="n"/>
      <c r="AB54" s="64" t="n"/>
      <c r="AC54" s="36" t="n"/>
      <c r="AD54" s="36" t="n"/>
      <c r="AE54" s="36" t="n"/>
      <c r="AF54" s="36" t="n"/>
      <c r="AG54" s="36" t="n"/>
      <c r="AH54" s="36" t="n"/>
      <c r="AI54" s="36" t="n"/>
      <c r="AJ54" s="36" t="n"/>
      <c r="AK54" s="36" t="n"/>
      <c r="AL54" s="36" t="n"/>
      <c r="AM54" s="36" t="n"/>
      <c r="AN54" s="36" t="n"/>
      <c r="AO54" s="36" t="n"/>
      <c r="AP54" s="36" t="n"/>
      <c r="AQ54" s="36" t="n"/>
      <c r="AR54" s="36" t="n"/>
      <c r="AS54" s="36" t="n"/>
      <c r="AT54" s="36" t="n"/>
      <c r="AU54" s="36" t="n"/>
      <c r="AV54" s="36" t="n"/>
      <c r="AW54" s="36" t="n"/>
      <c r="AX54" s="36" t="n"/>
      <c r="AY54" s="36" t="n"/>
      <c r="AZ54" s="36" t="n"/>
      <c r="BA54" s="36" t="n"/>
      <c r="BB54" s="36" t="n"/>
      <c r="BC54" s="36" t="n"/>
      <c r="BD54" s="36" t="n"/>
      <c r="BE54" s="36" t="n"/>
      <c r="BF54" s="36" t="n"/>
      <c r="BG54" s="36" t="n"/>
      <c r="BH54" s="36" t="n"/>
      <c r="BI54" s="36" t="n"/>
      <c r="BJ54" s="36" t="n"/>
      <c r="BK54" s="36" t="n"/>
      <c r="BL54" s="36" t="n"/>
      <c r="BM54" s="36" t="n"/>
      <c r="BN54" s="36" t="n"/>
      <c r="BO54" s="36" t="n"/>
      <c r="BP54" s="36" t="n"/>
      <c r="BQ54" s="36" t="n"/>
      <c r="BR54" s="36" t="n"/>
      <c r="BS54" s="36" t="n"/>
      <c r="BT54" s="36" t="n"/>
      <c r="BU54" s="36" t="n"/>
      <c r="BV54" s="36" t="n"/>
      <c r="BW54" s="36" t="n"/>
      <c r="BX54" s="36" t="n"/>
      <c r="BY54" s="36" t="n"/>
      <c r="BZ54" s="36" t="n"/>
      <c r="CA54" s="36" t="n"/>
      <c r="CB54" s="36" t="n"/>
      <c r="CC54" s="36" t="n"/>
      <c r="CD54" s="36" t="n"/>
      <c r="CE54" s="36" t="n"/>
      <c r="CF54" s="36" t="n"/>
      <c r="CG54" s="36" t="n"/>
      <c r="CH54" s="36" t="n"/>
      <c r="CI54" s="36" t="n"/>
      <c r="CJ54" s="36" t="n"/>
      <c r="CK54" s="36" t="n"/>
      <c r="CL54" s="36" t="n"/>
      <c r="CM54" s="36" t="n"/>
      <c r="CN54" s="2" t="n"/>
      <c r="CO54" s="2" t="n"/>
      <c r="CP54" s="2" t="n"/>
      <c r="CQ54" s="2" t="n"/>
      <c r="CR54" s="2" t="n"/>
      <c r="CS54" s="2" t="n"/>
      <c r="CT54" s="2" t="n"/>
      <c r="CU54" s="2" t="n"/>
      <c r="CV54" s="2" t="n"/>
      <c r="CW54" s="2" t="n"/>
      <c r="CX54" s="2" t="n"/>
      <c r="CY54" s="2" t="n"/>
      <c r="CZ54" s="2" t="n"/>
      <c r="DA54" s="2" t="n"/>
      <c r="DB54" s="2" t="n"/>
      <c r="DC54" s="2" t="n"/>
      <c r="DD54" s="2" t="n"/>
      <c r="DE54" s="2" t="n"/>
      <c r="DF54" s="2" t="n"/>
      <c r="DG54" s="2" t="n"/>
      <c r="DH54" s="2" t="n"/>
    </row>
    <row r="55" ht="38.1" customFormat="1" customHeight="1" s="76">
      <c r="A55" s="33" t="inlineStr">
        <is>
          <t>Внешняя цель героя</t>
        </is>
      </c>
      <c r="B55" t="inlineStr">
        <is>
          <t>Что герой хочет получить прямо сейчас — видимое действие или результат?</t>
        </is>
      </c>
      <c r="C55" s="29" t="n"/>
      <c r="D55" s="64" t="n"/>
      <c r="E55" s="64" t="n"/>
      <c r="F55" s="64" t="n"/>
      <c r="G55" s="64" t="n"/>
      <c r="H55" s="64" t="n"/>
      <c r="I55" s="64" t="n"/>
      <c r="J55" s="64" t="n"/>
      <c r="K55" s="64" t="n"/>
      <c r="L55" s="64" t="n"/>
      <c r="M55" s="64" t="n"/>
      <c r="N55" s="64" t="n"/>
      <c r="O55" s="64" t="n"/>
      <c r="P55" s="64" t="n"/>
      <c r="Q55" s="64" t="n"/>
      <c r="R55" s="64" t="n"/>
      <c r="S55" s="64" t="n"/>
      <c r="T55" s="64" t="n"/>
      <c r="U55" s="64" t="n"/>
      <c r="V55" s="64" t="n"/>
      <c r="W55" s="64" t="n"/>
      <c r="X55" s="64" t="n"/>
      <c r="Y55" s="64" t="n"/>
      <c r="Z55" s="64" t="n"/>
      <c r="AA55" s="64" t="n"/>
      <c r="AB55" s="64" t="n"/>
      <c r="AC55" s="36" t="n"/>
      <c r="AD55" s="36" t="n"/>
      <c r="AE55" s="36" t="n"/>
      <c r="AF55" s="36" t="n"/>
      <c r="AG55" s="36" t="n"/>
      <c r="AH55" s="36" t="n"/>
      <c r="AI55" s="36" t="n"/>
      <c r="AJ55" s="36" t="n"/>
      <c r="AK55" s="36" t="n"/>
      <c r="AL55" s="36" t="n"/>
      <c r="AM55" s="36" t="n"/>
      <c r="AN55" s="36" t="n"/>
      <c r="AO55" s="36" t="n"/>
      <c r="AP55" s="36" t="n"/>
      <c r="AQ55" s="36" t="n"/>
      <c r="AR55" s="36" t="n"/>
      <c r="AS55" s="36" t="n"/>
      <c r="AT55" s="36" t="n"/>
      <c r="AU55" s="36" t="n"/>
      <c r="AV55" s="36" t="n"/>
      <c r="AW55" s="36" t="n"/>
      <c r="AX55" s="36" t="n"/>
      <c r="AY55" s="36" t="n"/>
      <c r="AZ55" s="36" t="n"/>
      <c r="BA55" s="36" t="n"/>
      <c r="BB55" s="36" t="n"/>
      <c r="BC55" s="36" t="n"/>
      <c r="BD55" s="36" t="n"/>
      <c r="BE55" s="36" t="n"/>
      <c r="BF55" s="36" t="n"/>
      <c r="BG55" s="36" t="n"/>
      <c r="BH55" s="36" t="n"/>
      <c r="BI55" s="36" t="n"/>
      <c r="BJ55" s="36" t="n"/>
      <c r="BK55" s="36" t="n"/>
      <c r="BL55" s="36" t="n"/>
      <c r="BM55" s="36" t="n"/>
      <c r="BN55" s="36" t="n"/>
      <c r="BO55" s="36" t="n"/>
      <c r="BP55" s="36" t="n"/>
      <c r="BQ55" s="36" t="n"/>
      <c r="BR55" s="36" t="n"/>
      <c r="BS55" s="36" t="n"/>
      <c r="BT55" s="36" t="n"/>
      <c r="BU55" s="36" t="n"/>
      <c r="BV55" s="36" t="n"/>
      <c r="BW55" s="36" t="n"/>
      <c r="BX55" s="36" t="n"/>
      <c r="BY55" s="36" t="n"/>
      <c r="BZ55" s="36" t="n"/>
      <c r="CA55" s="36" t="n"/>
      <c r="CB55" s="36" t="n"/>
      <c r="CC55" s="36" t="n"/>
      <c r="CD55" s="36" t="n"/>
      <c r="CE55" s="36" t="n"/>
      <c r="CF55" s="36" t="n"/>
      <c r="CG55" s="36" t="n"/>
      <c r="CH55" s="36" t="n"/>
      <c r="CI55" s="36" t="n"/>
      <c r="CJ55" s="36" t="n"/>
      <c r="CK55" s="36" t="n"/>
      <c r="CL55" s="36" t="n"/>
      <c r="CM55" s="36" t="n"/>
      <c r="CN55" s="2" t="n"/>
      <c r="CO55" s="2" t="n"/>
      <c r="CP55" s="2" t="n"/>
      <c r="CQ55" s="2" t="n"/>
      <c r="CR55" s="2" t="n"/>
      <c r="CS55" s="2" t="n"/>
      <c r="CT55" s="2" t="n"/>
      <c r="CU55" s="2" t="n"/>
      <c r="CV55" s="2" t="n"/>
      <c r="CW55" s="2" t="n"/>
      <c r="CX55" s="2" t="n"/>
      <c r="CY55" s="2" t="n"/>
      <c r="CZ55" s="2" t="n"/>
      <c r="DA55" s="2" t="n"/>
      <c r="DB55" s="2" t="n"/>
      <c r="DC55" s="2" t="n"/>
      <c r="DD55" s="2" t="n"/>
      <c r="DE55" s="2" t="n"/>
      <c r="DF55" s="2" t="n"/>
      <c r="DG55" s="2" t="n"/>
      <c r="DH55" s="2" t="n"/>
    </row>
    <row r="56" ht="38.1" customFormat="1" customHeight="1" s="76">
      <c r="A56" s="33" t="inlineStr">
        <is>
          <t>Препятствие</t>
        </is>
      </c>
      <c r="B56" t="inlineStr">
        <is>
          <t>Кто или что мешает герою добиться цели?</t>
        </is>
      </c>
      <c r="C56" s="29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36" t="n"/>
      <c r="AD56" s="36" t="n"/>
      <c r="AE56" s="36" t="n"/>
      <c r="AF56" s="36" t="n"/>
      <c r="AG56" s="36" t="n"/>
      <c r="AH56" s="36" t="n"/>
      <c r="AI56" s="36" t="n"/>
      <c r="AJ56" s="36" t="n"/>
      <c r="AK56" s="36" t="n"/>
      <c r="AL56" s="36" t="n"/>
      <c r="AM56" s="36" t="n"/>
      <c r="AN56" s="36" t="n"/>
      <c r="AO56" s="36" t="n"/>
      <c r="AP56" s="36" t="n"/>
      <c r="AQ56" s="36" t="n"/>
      <c r="AR56" s="36" t="n"/>
      <c r="AS56" s="36" t="n"/>
      <c r="AT56" s="36" t="n"/>
      <c r="AU56" s="36" t="n"/>
      <c r="AV56" s="36" t="n"/>
      <c r="AW56" s="36" t="n"/>
      <c r="AX56" s="36" t="n"/>
      <c r="AY56" s="36" t="n"/>
      <c r="AZ56" s="36" t="n"/>
      <c r="BA56" s="36" t="n"/>
      <c r="BB56" s="36" t="n"/>
      <c r="BC56" s="36" t="n"/>
      <c r="BD56" s="36" t="n"/>
      <c r="BE56" s="36" t="n"/>
      <c r="BF56" s="36" t="n"/>
      <c r="BG56" s="36" t="n"/>
      <c r="BH56" s="36" t="n"/>
      <c r="BI56" s="36" t="n"/>
      <c r="BJ56" s="36" t="n"/>
      <c r="BK56" s="36" t="n"/>
      <c r="BL56" s="36" t="n"/>
      <c r="BM56" s="36" t="n"/>
      <c r="BN56" s="36" t="n"/>
      <c r="BO56" s="36" t="n"/>
      <c r="BP56" s="36" t="n"/>
      <c r="BQ56" s="36" t="n"/>
      <c r="BR56" s="36" t="n"/>
      <c r="BS56" s="36" t="n"/>
      <c r="BT56" s="36" t="n"/>
      <c r="BU56" s="36" t="n"/>
      <c r="BV56" s="36" t="n"/>
      <c r="BW56" s="36" t="n"/>
      <c r="BX56" s="36" t="n"/>
      <c r="BY56" s="36" t="n"/>
      <c r="BZ56" s="36" t="n"/>
      <c r="CA56" s="36" t="n"/>
      <c r="CB56" s="36" t="n"/>
      <c r="CC56" s="36" t="n"/>
      <c r="CD56" s="36" t="n"/>
      <c r="CE56" s="36" t="n"/>
      <c r="CF56" s="36" t="n"/>
      <c r="CG56" s="36" t="n"/>
      <c r="CH56" s="36" t="n"/>
      <c r="CI56" s="36" t="n"/>
      <c r="CJ56" s="36" t="n"/>
      <c r="CK56" s="36" t="n"/>
      <c r="CL56" s="36" t="n"/>
      <c r="CM56" s="36" t="n"/>
      <c r="CN56" s="2" t="n"/>
      <c r="CO56" s="2" t="n"/>
      <c r="CP56" s="2" t="n"/>
      <c r="CQ56" s="2" t="n"/>
      <c r="CR56" s="2" t="n"/>
      <c r="CS56" s="2" t="n"/>
      <c r="CT56" s="2" t="n"/>
      <c r="CU56" s="2" t="n"/>
      <c r="CV56" s="2" t="n"/>
      <c r="CW56" s="2" t="n"/>
      <c r="CX56" s="2" t="n"/>
      <c r="CY56" s="2" t="n"/>
      <c r="CZ56" s="2" t="n"/>
      <c r="DA56" s="2" t="n"/>
      <c r="DB56" s="2" t="n"/>
      <c r="DC56" s="2" t="n"/>
      <c r="DD56" s="2" t="n"/>
      <c r="DE56" s="2" t="n"/>
      <c r="DF56" s="2" t="n"/>
      <c r="DG56" s="2" t="n"/>
      <c r="DH56" s="2" t="n"/>
    </row>
    <row r="57" ht="38.1" customFormat="1" customHeight="1" s="76">
      <c r="A57" s="33" t="inlineStr">
        <is>
          <t>Ставки</t>
        </is>
      </c>
      <c r="B57" t="inlineStr">
        <is>
          <t>Что герой потеряет, если не добьется своего?</t>
        </is>
      </c>
      <c r="C57" s="29" t="n"/>
      <c r="D57" s="64" t="n"/>
      <c r="E57" s="64" t="n"/>
      <c r="F57" s="64" t="n"/>
      <c r="G57" s="64" t="n"/>
      <c r="H57" s="64" t="n"/>
      <c r="I57" s="64" t="n"/>
      <c r="J57" s="64" t="n"/>
      <c r="K57" s="64" t="n"/>
      <c r="L57" s="64" t="n"/>
      <c r="M57" s="64" t="n"/>
      <c r="N57" s="64" t="n"/>
      <c r="O57" s="64" t="n"/>
      <c r="P57" s="64" t="n"/>
      <c r="Q57" s="64" t="n"/>
      <c r="R57" s="64" t="n"/>
      <c r="S57" s="64" t="n"/>
      <c r="T57" s="64" t="n"/>
      <c r="U57" s="64" t="n"/>
      <c r="V57" s="64" t="n"/>
      <c r="W57" s="64" t="n"/>
      <c r="X57" s="64" t="n"/>
      <c r="Y57" s="64" t="n"/>
      <c r="Z57" s="64" t="n"/>
      <c r="AA57" s="64" t="n"/>
      <c r="AB57" s="64" t="n"/>
      <c r="AC57" s="36" t="n"/>
      <c r="AD57" s="36" t="n"/>
      <c r="AE57" s="36" t="n"/>
      <c r="AF57" s="36" t="n"/>
      <c r="AG57" s="36" t="n"/>
      <c r="AH57" s="36" t="n"/>
      <c r="AI57" s="36" t="n"/>
      <c r="AJ57" s="36" t="n"/>
      <c r="AK57" s="36" t="n"/>
      <c r="AL57" s="36" t="n"/>
      <c r="AM57" s="36" t="n"/>
      <c r="AN57" s="36" t="n"/>
      <c r="AO57" s="36" t="n"/>
      <c r="AP57" s="36" t="n"/>
      <c r="AQ57" s="36" t="n"/>
      <c r="AR57" s="36" t="n"/>
      <c r="AS57" s="36" t="n"/>
      <c r="AT57" s="36" t="n"/>
      <c r="AU57" s="36" t="n"/>
      <c r="AV57" s="36" t="n"/>
      <c r="AW57" s="36" t="n"/>
      <c r="AX57" s="36" t="n"/>
      <c r="AY57" s="36" t="n"/>
      <c r="AZ57" s="36" t="n"/>
      <c r="BA57" s="36" t="n"/>
      <c r="BB57" s="36" t="n"/>
      <c r="BC57" s="36" t="n"/>
      <c r="BD57" s="36" t="n"/>
      <c r="BE57" s="36" t="n"/>
      <c r="BF57" s="36" t="n"/>
      <c r="BG57" s="36" t="n"/>
      <c r="BH57" s="36" t="n"/>
      <c r="BI57" s="36" t="n"/>
      <c r="BJ57" s="36" t="n"/>
      <c r="BK57" s="36" t="n"/>
      <c r="BL57" s="36" t="n"/>
      <c r="BM57" s="36" t="n"/>
      <c r="BN57" s="36" t="n"/>
      <c r="BO57" s="36" t="n"/>
      <c r="BP57" s="36" t="n"/>
      <c r="BQ57" s="36" t="n"/>
      <c r="BR57" s="36" t="n"/>
      <c r="BS57" s="36" t="n"/>
      <c r="BT57" s="36" t="n"/>
      <c r="BU57" s="36" t="n"/>
      <c r="BV57" s="36" t="n"/>
      <c r="BW57" s="36" t="n"/>
      <c r="BX57" s="36" t="n"/>
      <c r="BY57" s="36" t="n"/>
      <c r="BZ57" s="36" t="n"/>
      <c r="CA57" s="36" t="n"/>
      <c r="CB57" s="36" t="n"/>
      <c r="CC57" s="36" t="n"/>
      <c r="CD57" s="36" t="n"/>
      <c r="CE57" s="36" t="n"/>
      <c r="CF57" s="36" t="n"/>
      <c r="CG57" s="36" t="n"/>
      <c r="CH57" s="36" t="n"/>
      <c r="CI57" s="36" t="n"/>
      <c r="CJ57" s="36" t="n"/>
      <c r="CK57" s="36" t="n"/>
      <c r="CL57" s="36" t="n"/>
      <c r="CM57" s="36" t="n"/>
      <c r="CN57" s="2" t="n"/>
      <c r="CO57" s="2" t="n"/>
      <c r="CP57" s="2" t="n"/>
      <c r="CQ57" s="2" t="n"/>
      <c r="CR57" s="2" t="n"/>
      <c r="CS57" s="2" t="n"/>
      <c r="CT57" s="2" t="n"/>
      <c r="CU57" s="2" t="n"/>
      <c r="CV57" s="2" t="n"/>
      <c r="CW57" s="2" t="n"/>
      <c r="CX57" s="2" t="n"/>
      <c r="CY57" s="2" t="n"/>
      <c r="CZ57" s="2" t="n"/>
      <c r="DA57" s="2" t="n"/>
      <c r="DB57" s="2" t="n"/>
      <c r="DC57" s="2" t="n"/>
      <c r="DD57" s="2" t="n"/>
      <c r="DE57" s="2" t="n"/>
      <c r="DF57" s="2" t="n"/>
      <c r="DG57" s="2" t="n"/>
      <c r="DH57" s="2" t="n"/>
    </row>
    <row r="58" ht="38.1" customFormat="1" customHeight="1" s="76">
      <c r="A58" s="33" t="inlineStr">
        <is>
          <t>Внутренняя потребность</t>
        </is>
      </c>
      <c r="B58" t="inlineStr">
        <is>
          <t>Что герой на самом деле пытается скрыть, доказать, защитить или получить?</t>
        </is>
      </c>
      <c r="C58" s="29" t="n"/>
      <c r="D58" s="64" t="n"/>
      <c r="E58" s="64" t="n"/>
      <c r="F58" s="64" t="n"/>
      <c r="G58" s="64" t="n"/>
      <c r="H58" s="64" t="n"/>
      <c r="I58" s="64" t="n"/>
      <c r="J58" s="64" t="n"/>
      <c r="K58" s="64" t="n"/>
      <c r="L58" s="64" t="n"/>
      <c r="M58" s="64" t="n"/>
      <c r="N58" s="64" t="n"/>
      <c r="O58" s="64" t="n"/>
      <c r="P58" s="64" t="n"/>
      <c r="Q58" s="64" t="n"/>
      <c r="R58" s="64" t="n"/>
      <c r="S58" s="64" t="n"/>
      <c r="T58" s="64" t="n"/>
      <c r="U58" s="64" t="n"/>
      <c r="V58" s="64" t="n"/>
      <c r="W58" s="64" t="n"/>
      <c r="X58" s="64" t="n"/>
      <c r="Y58" s="64" t="n"/>
      <c r="Z58" s="64" t="n"/>
      <c r="AA58" s="64" t="n"/>
      <c r="AB58" s="64" t="n"/>
      <c r="AC58" s="36" t="n"/>
      <c r="AD58" s="36" t="n"/>
      <c r="AE58" s="36" t="n"/>
      <c r="AF58" s="36" t="n"/>
      <c r="AG58" s="36" t="n"/>
      <c r="AH58" s="36" t="n"/>
      <c r="AI58" s="36" t="n"/>
      <c r="AJ58" s="36" t="n"/>
      <c r="AK58" s="36" t="n"/>
      <c r="AL58" s="36" t="n"/>
      <c r="AM58" s="36" t="n"/>
      <c r="AN58" s="36" t="n"/>
      <c r="AO58" s="36" t="n"/>
      <c r="AP58" s="36" t="n"/>
      <c r="AQ58" s="36" t="n"/>
      <c r="AR58" s="36" t="n"/>
      <c r="AS58" s="36" t="n"/>
      <c r="AT58" s="36" t="n"/>
      <c r="AU58" s="36" t="n"/>
      <c r="AV58" s="36" t="n"/>
      <c r="AW58" s="36" t="n"/>
      <c r="AX58" s="36" t="n"/>
      <c r="AY58" s="36" t="n"/>
      <c r="AZ58" s="36" t="n"/>
      <c r="BA58" s="36" t="n"/>
      <c r="BB58" s="36" t="n"/>
      <c r="BC58" s="36" t="n"/>
      <c r="BD58" s="36" t="n"/>
      <c r="BE58" s="36" t="n"/>
      <c r="BF58" s="36" t="n"/>
      <c r="BG58" s="36" t="n"/>
      <c r="BH58" s="36" t="n"/>
      <c r="BI58" s="36" t="n"/>
      <c r="BJ58" s="36" t="n"/>
      <c r="BK58" s="36" t="n"/>
      <c r="BL58" s="36" t="n"/>
      <c r="BM58" s="36" t="n"/>
      <c r="BN58" s="36" t="n"/>
      <c r="BO58" s="36" t="n"/>
      <c r="BP58" s="36" t="n"/>
      <c r="BQ58" s="36" t="n"/>
      <c r="BR58" s="36" t="n"/>
      <c r="BS58" s="36" t="n"/>
      <c r="BT58" s="36" t="n"/>
      <c r="BU58" s="36" t="n"/>
      <c r="BV58" s="36" t="n"/>
      <c r="BW58" s="36" t="n"/>
      <c r="BX58" s="36" t="n"/>
      <c r="BY58" s="36" t="n"/>
      <c r="BZ58" s="36" t="n"/>
      <c r="CA58" s="36" t="n"/>
      <c r="CB58" s="36" t="n"/>
      <c r="CC58" s="36" t="n"/>
      <c r="CD58" s="36" t="n"/>
      <c r="CE58" s="36" t="n"/>
      <c r="CF58" s="36" t="n"/>
      <c r="CG58" s="36" t="n"/>
      <c r="CH58" s="36" t="n"/>
      <c r="CI58" s="36" t="n"/>
      <c r="CJ58" s="36" t="n"/>
      <c r="CK58" s="36" t="n"/>
      <c r="CL58" s="36" t="n"/>
      <c r="CM58" s="36" t="n"/>
      <c r="CN58" s="2" t="n"/>
      <c r="CO58" s="2" t="n"/>
      <c r="CP58" s="2" t="n"/>
      <c r="CQ58" s="2" t="n"/>
      <c r="CR58" s="2" t="n"/>
      <c r="CS58" s="2" t="n"/>
      <c r="CT58" s="2" t="n"/>
      <c r="CU58" s="2" t="n"/>
      <c r="CV58" s="2" t="n"/>
      <c r="CW58" s="2" t="n"/>
      <c r="CX58" s="2" t="n"/>
      <c r="CY58" s="2" t="n"/>
      <c r="CZ58" s="2" t="n"/>
      <c r="DA58" s="2" t="n"/>
      <c r="DB58" s="2" t="n"/>
      <c r="DC58" s="2" t="n"/>
      <c r="DD58" s="2" t="n"/>
      <c r="DE58" s="2" t="n"/>
      <c r="DF58" s="2" t="n"/>
      <c r="DG58" s="2" t="n"/>
      <c r="DH58" s="2" t="n"/>
    </row>
    <row r="59" ht="38.1" customFormat="1" customHeight="1" s="76">
      <c r="A59" s="33" t="inlineStr">
        <is>
          <t>Видимое действие</t>
        </is>
      </c>
      <c r="B59" t="inlineStr">
        <is>
          <t>Что зритель увидит или услышит? Без внутренних объяснений вроде «он понял», «она боится», «ему больно».</t>
        </is>
      </c>
      <c r="C59" s="29" t="n"/>
      <c r="D59" s="64" t="n"/>
      <c r="E59" s="64" t="n"/>
      <c r="F59" s="64" t="n"/>
      <c r="G59" s="64" t="n"/>
      <c r="H59" s="64" t="n"/>
      <c r="I59" s="64" t="n"/>
      <c r="J59" s="64" t="n"/>
      <c r="K59" s="64" t="n"/>
      <c r="L59" s="64" t="n"/>
      <c r="M59" s="64" t="n"/>
      <c r="N59" s="64" t="n"/>
      <c r="O59" s="64" t="n"/>
      <c r="P59" s="64" t="n"/>
      <c r="Q59" s="64" t="n"/>
      <c r="R59" s="64" t="n"/>
      <c r="S59" s="64" t="n"/>
      <c r="T59" s="64" t="n"/>
      <c r="U59" s="64" t="n"/>
      <c r="V59" s="64" t="n"/>
      <c r="W59" s="64" t="n"/>
      <c r="X59" s="64" t="n"/>
      <c r="Y59" s="64" t="n"/>
      <c r="Z59" s="64" t="n"/>
      <c r="AA59" s="64" t="n"/>
      <c r="AB59" s="64" t="n"/>
      <c r="AC59" s="36" t="n"/>
      <c r="AD59" s="36" t="n"/>
      <c r="AE59" s="36" t="n"/>
      <c r="AF59" s="36" t="n"/>
      <c r="AG59" s="36" t="n"/>
      <c r="AH59" s="36" t="n"/>
      <c r="AI59" s="36" t="n"/>
      <c r="AJ59" s="36" t="n"/>
      <c r="AK59" s="36" t="n"/>
      <c r="AL59" s="36" t="n"/>
      <c r="AM59" s="36" t="n"/>
      <c r="AN59" s="36" t="n"/>
      <c r="AO59" s="36" t="n"/>
      <c r="AP59" s="36" t="n"/>
      <c r="AQ59" s="36" t="n"/>
      <c r="AR59" s="36" t="n"/>
      <c r="AS59" s="36" t="n"/>
      <c r="AT59" s="36" t="n"/>
      <c r="AU59" s="36" t="n"/>
      <c r="AV59" s="36" t="n"/>
      <c r="AW59" s="36" t="n"/>
      <c r="AX59" s="36" t="n"/>
      <c r="AY59" s="36" t="n"/>
      <c r="AZ59" s="36" t="n"/>
      <c r="BA59" s="36" t="n"/>
      <c r="BB59" s="36" t="n"/>
      <c r="BC59" s="36" t="n"/>
      <c r="BD59" s="36" t="n"/>
      <c r="BE59" s="36" t="n"/>
      <c r="BF59" s="36" t="n"/>
      <c r="BG59" s="36" t="n"/>
      <c r="BH59" s="36" t="n"/>
      <c r="BI59" s="36" t="n"/>
      <c r="BJ59" s="36" t="n"/>
      <c r="BK59" s="36" t="n"/>
      <c r="BL59" s="36" t="n"/>
      <c r="BM59" s="36" t="n"/>
      <c r="BN59" s="36" t="n"/>
      <c r="BO59" s="36" t="n"/>
      <c r="BP59" s="36" t="n"/>
      <c r="BQ59" s="36" t="n"/>
      <c r="BR59" s="36" t="n"/>
      <c r="BS59" s="36" t="n"/>
      <c r="BT59" s="36" t="n"/>
      <c r="BU59" s="36" t="n"/>
      <c r="BV59" s="36" t="n"/>
      <c r="BW59" s="36" t="n"/>
      <c r="BX59" s="36" t="n"/>
      <c r="BY59" s="36" t="n"/>
      <c r="BZ59" s="36" t="n"/>
      <c r="CA59" s="36" t="n"/>
      <c r="CB59" s="36" t="n"/>
      <c r="CC59" s="36" t="n"/>
      <c r="CD59" s="36" t="n"/>
      <c r="CE59" s="36" t="n"/>
      <c r="CF59" s="36" t="n"/>
      <c r="CG59" s="36" t="n"/>
      <c r="CH59" s="36" t="n"/>
      <c r="CI59" s="36" t="n"/>
      <c r="CJ59" s="36" t="n"/>
      <c r="CK59" s="36" t="n"/>
      <c r="CL59" s="36" t="n"/>
      <c r="CM59" s="36" t="n"/>
      <c r="CN59" s="2" t="n"/>
      <c r="CO59" s="2" t="n"/>
      <c r="CP59" s="2" t="n"/>
      <c r="CQ59" s="2" t="n"/>
      <c r="CR59" s="2" t="n"/>
      <c r="CS59" s="2" t="n"/>
      <c r="CT59" s="2" t="n"/>
      <c r="CU59" s="2" t="n"/>
      <c r="CV59" s="2" t="n"/>
      <c r="CW59" s="2" t="n"/>
      <c r="CX59" s="2" t="n"/>
      <c r="CY59" s="2" t="n"/>
      <c r="CZ59" s="2" t="n"/>
      <c r="DA59" s="2" t="n"/>
      <c r="DB59" s="2" t="n"/>
      <c r="DC59" s="2" t="n"/>
      <c r="DD59" s="2" t="n"/>
      <c r="DE59" s="2" t="n"/>
      <c r="DF59" s="2" t="n"/>
      <c r="DG59" s="2" t="n"/>
      <c r="DH59" s="2" t="n"/>
    </row>
    <row r="60" ht="38.1" customFormat="1" customHeight="1" s="76">
      <c r="A60" s="33" t="inlineStr">
        <is>
          <t>Ключевой конфликт</t>
        </is>
      </c>
      <c r="B60" t="inlineStr">
        <is>
          <t>В чем столкновение: человек против человека, среды, времени, закона, страха, вины, секрета?</t>
        </is>
      </c>
      <c r="C60" s="29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36" t="n"/>
      <c r="AD60" s="36" t="n"/>
      <c r="AE60" s="36" t="n"/>
      <c r="AF60" s="36" t="n"/>
      <c r="AG60" s="36" t="n"/>
      <c r="AH60" s="36" t="n"/>
      <c r="AI60" s="36" t="n"/>
      <c r="AJ60" s="36" t="n"/>
      <c r="AK60" s="36" t="n"/>
      <c r="AL60" s="36" t="n"/>
      <c r="AM60" s="36" t="n"/>
      <c r="AN60" s="36" t="n"/>
      <c r="AO60" s="36" t="n"/>
      <c r="AP60" s="36" t="n"/>
      <c r="AQ60" s="36" t="n"/>
      <c r="AR60" s="36" t="n"/>
      <c r="AS60" s="36" t="n"/>
      <c r="AT60" s="36" t="n"/>
      <c r="AU60" s="36" t="n"/>
      <c r="AV60" s="36" t="n"/>
      <c r="AW60" s="36" t="n"/>
      <c r="AX60" s="36" t="n"/>
      <c r="AY60" s="36" t="n"/>
      <c r="AZ60" s="36" t="n"/>
      <c r="BA60" s="36" t="n"/>
      <c r="BB60" s="36" t="n"/>
      <c r="BC60" s="36" t="n"/>
      <c r="BD60" s="36" t="n"/>
      <c r="BE60" s="36" t="n"/>
      <c r="BF60" s="36" t="n"/>
      <c r="BG60" s="36" t="n"/>
      <c r="BH60" s="36" t="n"/>
      <c r="BI60" s="36" t="n"/>
      <c r="BJ60" s="36" t="n"/>
      <c r="BK60" s="36" t="n"/>
      <c r="BL60" s="36" t="n"/>
      <c r="BM60" s="36" t="n"/>
      <c r="BN60" s="36" t="n"/>
      <c r="BO60" s="36" t="n"/>
      <c r="BP60" s="36" t="n"/>
      <c r="BQ60" s="36" t="n"/>
      <c r="BR60" s="36" t="n"/>
      <c r="BS60" s="36" t="n"/>
      <c r="BT60" s="36" t="n"/>
      <c r="BU60" s="36" t="n"/>
      <c r="BV60" s="36" t="n"/>
      <c r="BW60" s="36" t="n"/>
      <c r="BX60" s="36" t="n"/>
      <c r="BY60" s="36" t="n"/>
      <c r="BZ60" s="36" t="n"/>
      <c r="CA60" s="36" t="n"/>
      <c r="CB60" s="36" t="n"/>
      <c r="CC60" s="36" t="n"/>
      <c r="CD60" s="36" t="n"/>
      <c r="CE60" s="36" t="n"/>
      <c r="CF60" s="36" t="n"/>
      <c r="CG60" s="36" t="n"/>
      <c r="CH60" s="36" t="n"/>
      <c r="CI60" s="36" t="n"/>
      <c r="CJ60" s="36" t="n"/>
      <c r="CK60" s="36" t="n"/>
      <c r="CL60" s="36" t="n"/>
      <c r="CM60" s="36" t="n"/>
      <c r="CN60" s="2" t="n"/>
      <c r="CO60" s="2" t="n"/>
      <c r="CP60" s="2" t="n"/>
      <c r="CQ60" s="2" t="n"/>
      <c r="CR60" s="2" t="n"/>
      <c r="CS60" s="2" t="n"/>
      <c r="CT60" s="2" t="n"/>
      <c r="CU60" s="2" t="n"/>
      <c r="CV60" s="2" t="n"/>
      <c r="CW60" s="2" t="n"/>
      <c r="CX60" s="2" t="n"/>
      <c r="CY60" s="2" t="n"/>
      <c r="CZ60" s="2" t="n"/>
      <c r="DA60" s="2" t="n"/>
      <c r="DB60" s="2" t="n"/>
      <c r="DC60" s="2" t="n"/>
      <c r="DD60" s="2" t="n"/>
      <c r="DE60" s="2" t="n"/>
      <c r="DF60" s="2" t="n"/>
      <c r="DG60" s="2" t="n"/>
      <c r="DH60" s="2" t="n"/>
    </row>
    <row r="61" ht="38.1" customFormat="1" customHeight="1" s="76">
      <c r="A61" s="33" t="inlineStr">
        <is>
          <t>Поворот</t>
        </is>
      </c>
      <c r="B61" t="inlineStr">
        <is>
          <t>Что меняется к концу сцены или кадра: информация, власть, отношение, риск, решение?</t>
        </is>
      </c>
      <c r="C61" s="29" t="n"/>
      <c r="D61" s="64" t="n"/>
      <c r="E61" s="64" t="n"/>
      <c r="F61" s="64" t="n"/>
      <c r="G61" s="64" t="n"/>
      <c r="H61" s="64" t="n"/>
      <c r="I61" s="64" t="n"/>
      <c r="J61" s="64" t="n"/>
      <c r="K61" s="64" t="n"/>
      <c r="L61" s="64" t="n"/>
      <c r="M61" s="64" t="n"/>
      <c r="N61" s="64" t="n"/>
      <c r="O61" s="64" t="n"/>
      <c r="P61" s="64" t="n"/>
      <c r="Q61" s="64" t="n"/>
      <c r="R61" s="64" t="n"/>
      <c r="S61" s="64" t="n"/>
      <c r="T61" s="64" t="n"/>
      <c r="U61" s="64" t="n"/>
      <c r="V61" s="64" t="n"/>
      <c r="W61" s="64" t="n"/>
      <c r="X61" s="64" t="n"/>
      <c r="Y61" s="64" t="n"/>
      <c r="Z61" s="64" t="n"/>
      <c r="AA61" s="64" t="n"/>
      <c r="AB61" s="64" t="n"/>
      <c r="AC61" s="36" t="n"/>
      <c r="AD61" s="36" t="n"/>
      <c r="AE61" s="36" t="n"/>
      <c r="AF61" s="36" t="n"/>
      <c r="AG61" s="36" t="n"/>
      <c r="AH61" s="36" t="n"/>
      <c r="AI61" s="36" t="n"/>
      <c r="AJ61" s="36" t="n"/>
      <c r="AK61" s="36" t="n"/>
      <c r="AL61" s="36" t="n"/>
      <c r="AM61" s="36" t="n"/>
      <c r="AN61" s="36" t="n"/>
      <c r="AO61" s="36" t="n"/>
      <c r="AP61" s="36" t="n"/>
      <c r="AQ61" s="36" t="n"/>
      <c r="AR61" s="36" t="n"/>
      <c r="AS61" s="36" t="n"/>
      <c r="AT61" s="36" t="n"/>
      <c r="AU61" s="36" t="n"/>
      <c r="AV61" s="36" t="n"/>
      <c r="AW61" s="36" t="n"/>
      <c r="AX61" s="36" t="n"/>
      <c r="AY61" s="36" t="n"/>
      <c r="AZ61" s="36" t="n"/>
      <c r="BA61" s="36" t="n"/>
      <c r="BB61" s="36" t="n"/>
      <c r="BC61" s="36" t="n"/>
      <c r="BD61" s="36" t="n"/>
      <c r="BE61" s="36" t="n"/>
      <c r="BF61" s="36" t="n"/>
      <c r="BG61" s="36" t="n"/>
      <c r="BH61" s="36" t="n"/>
      <c r="BI61" s="36" t="n"/>
      <c r="BJ61" s="36" t="n"/>
      <c r="BK61" s="36" t="n"/>
      <c r="BL61" s="36" t="n"/>
      <c r="BM61" s="36" t="n"/>
      <c r="BN61" s="36" t="n"/>
      <c r="BO61" s="36" t="n"/>
      <c r="BP61" s="36" t="n"/>
      <c r="BQ61" s="36" t="n"/>
      <c r="BR61" s="36" t="n"/>
      <c r="BS61" s="36" t="n"/>
      <c r="BT61" s="36" t="n"/>
      <c r="BU61" s="36" t="n"/>
      <c r="BV61" s="36" t="n"/>
      <c r="BW61" s="36" t="n"/>
      <c r="BX61" s="36" t="n"/>
      <c r="BY61" s="36" t="n"/>
      <c r="BZ61" s="36" t="n"/>
      <c r="CA61" s="36" t="n"/>
      <c r="CB61" s="36" t="n"/>
      <c r="CC61" s="36" t="n"/>
      <c r="CD61" s="36" t="n"/>
      <c r="CE61" s="36" t="n"/>
      <c r="CF61" s="36" t="n"/>
      <c r="CG61" s="36" t="n"/>
      <c r="CH61" s="36" t="n"/>
      <c r="CI61" s="36" t="n"/>
      <c r="CJ61" s="36" t="n"/>
      <c r="CK61" s="36" t="n"/>
      <c r="CL61" s="36" t="n"/>
      <c r="CM61" s="36" t="n"/>
      <c r="CN61" s="2" t="n"/>
      <c r="CO61" s="2" t="n"/>
      <c r="CP61" s="2" t="n"/>
      <c r="CQ61" s="2" t="n"/>
      <c r="CR61" s="2" t="n"/>
      <c r="CS61" s="2" t="n"/>
      <c r="CT61" s="2" t="n"/>
      <c r="CU61" s="2" t="n"/>
      <c r="CV61" s="2" t="n"/>
      <c r="CW61" s="2" t="n"/>
      <c r="CX61" s="2" t="n"/>
      <c r="CY61" s="2" t="n"/>
      <c r="CZ61" s="2" t="n"/>
      <c r="DA61" s="2" t="n"/>
      <c r="DB61" s="2" t="n"/>
      <c r="DC61" s="2" t="n"/>
      <c r="DD61" s="2" t="n"/>
      <c r="DE61" s="2" t="n"/>
      <c r="DF61" s="2" t="n"/>
      <c r="DG61" s="2" t="n"/>
      <c r="DH61" s="2" t="n"/>
    </row>
    <row r="62" ht="38.1" customFormat="1" customHeight="1" s="76">
      <c r="A62" s="33" t="inlineStr">
        <is>
          <t>Переход к следующей сцене</t>
        </is>
      </c>
      <c r="B62" t="inlineStr">
        <is>
          <t>Какой вопрос, действие, звук, предмет или последствие ведет зрителя дальше?</t>
        </is>
      </c>
      <c r="C62" s="29" t="n"/>
      <c r="D62" s="64" t="n"/>
      <c r="E62" s="64" t="n"/>
      <c r="F62" s="64" t="n"/>
      <c r="G62" s="64" t="n"/>
      <c r="H62" s="64" t="n"/>
      <c r="I62" s="64" t="n"/>
      <c r="J62" s="64" t="n"/>
      <c r="K62" s="64" t="n"/>
      <c r="L62" s="64" t="n"/>
      <c r="M62" s="64" t="n"/>
      <c r="N62" s="64" t="n"/>
      <c r="O62" s="64" t="n"/>
      <c r="P62" s="64" t="n"/>
      <c r="Q62" s="64" t="n"/>
      <c r="R62" s="64" t="n"/>
      <c r="S62" s="64" t="n"/>
      <c r="T62" s="64" t="n"/>
      <c r="U62" s="64" t="n"/>
      <c r="V62" s="64" t="n"/>
      <c r="W62" s="64" t="n"/>
      <c r="X62" s="64" t="n"/>
      <c r="Y62" s="64" t="n"/>
      <c r="Z62" s="64" t="n"/>
      <c r="AA62" s="64" t="n"/>
      <c r="AB62" s="64" t="n"/>
      <c r="AC62" s="36" t="n"/>
      <c r="AD62" s="36" t="n"/>
      <c r="AE62" s="36" t="n"/>
      <c r="AF62" s="36" t="n"/>
      <c r="AG62" s="36" t="n"/>
      <c r="AH62" s="36" t="n"/>
      <c r="AI62" s="36" t="n"/>
      <c r="AJ62" s="36" t="n"/>
      <c r="AK62" s="36" t="n"/>
      <c r="AL62" s="36" t="n"/>
      <c r="AM62" s="36" t="n"/>
      <c r="AN62" s="36" t="n"/>
      <c r="AO62" s="36" t="n"/>
      <c r="AP62" s="36" t="n"/>
      <c r="AQ62" s="36" t="n"/>
      <c r="AR62" s="36" t="n"/>
      <c r="AS62" s="36" t="n"/>
      <c r="AT62" s="36" t="n"/>
      <c r="AU62" s="36" t="n"/>
      <c r="AV62" s="36" t="n"/>
      <c r="AW62" s="36" t="n"/>
      <c r="AX62" s="36" t="n"/>
      <c r="AY62" s="36" t="n"/>
      <c r="AZ62" s="36" t="n"/>
      <c r="BA62" s="36" t="n"/>
      <c r="BB62" s="36" t="n"/>
      <c r="BC62" s="36" t="n"/>
      <c r="BD62" s="36" t="n"/>
      <c r="BE62" s="36" t="n"/>
      <c r="BF62" s="36" t="n"/>
      <c r="BG62" s="36" t="n"/>
      <c r="BH62" s="36" t="n"/>
      <c r="BI62" s="36" t="n"/>
      <c r="BJ62" s="36" t="n"/>
      <c r="BK62" s="36" t="n"/>
      <c r="BL62" s="36" t="n"/>
      <c r="BM62" s="36" t="n"/>
      <c r="BN62" s="36" t="n"/>
      <c r="BO62" s="36" t="n"/>
      <c r="BP62" s="36" t="n"/>
      <c r="BQ62" s="36" t="n"/>
      <c r="BR62" s="36" t="n"/>
      <c r="BS62" s="36" t="n"/>
      <c r="BT62" s="36" t="n"/>
      <c r="BU62" s="36" t="n"/>
      <c r="BV62" s="36" t="n"/>
      <c r="BW62" s="36" t="n"/>
      <c r="BX62" s="36" t="n"/>
      <c r="BY62" s="36" t="n"/>
      <c r="BZ62" s="36" t="n"/>
      <c r="CA62" s="36" t="n"/>
      <c r="CB62" s="36" t="n"/>
      <c r="CC62" s="36" t="n"/>
      <c r="CD62" s="36" t="n"/>
      <c r="CE62" s="36" t="n"/>
      <c r="CF62" s="36" t="n"/>
      <c r="CG62" s="36" t="n"/>
      <c r="CH62" s="36" t="n"/>
      <c r="CI62" s="36" t="n"/>
      <c r="CJ62" s="36" t="n"/>
      <c r="CK62" s="36" t="n"/>
      <c r="CL62" s="36" t="n"/>
      <c r="CM62" s="36" t="n"/>
      <c r="CN62" s="2" t="n"/>
      <c r="CO62" s="2" t="n"/>
      <c r="CP62" s="2" t="n"/>
      <c r="CQ62" s="2" t="n"/>
      <c r="CR62" s="2" t="n"/>
      <c r="CS62" s="2" t="n"/>
      <c r="CT62" s="2" t="n"/>
      <c r="CU62" s="2" t="n"/>
      <c r="CV62" s="2" t="n"/>
      <c r="CW62" s="2" t="n"/>
      <c r="CX62" s="2" t="n"/>
      <c r="CY62" s="2" t="n"/>
      <c r="CZ62" s="2" t="n"/>
      <c r="DA62" s="2" t="n"/>
      <c r="DB62" s="2" t="n"/>
      <c r="DC62" s="2" t="n"/>
      <c r="DD62" s="2" t="n"/>
      <c r="DE62" s="2" t="n"/>
      <c r="DF62" s="2" t="n"/>
      <c r="DG62" s="2" t="n"/>
      <c r="DH62" s="2" t="n"/>
    </row>
    <row r="63" ht="72" customFormat="1" customHeight="1" s="76">
      <c r="A63" s="33" t="inlineStr">
        <is>
          <t>Последний кадр</t>
        </is>
      </c>
      <c r="B63" t="inlineStr">
        <is>
          <t>Какой конкретный образ остается в памяти и показывает новое состояние героя или ситуации?</t>
        </is>
      </c>
      <c r="C63" s="29" t="n"/>
      <c r="D63" s="64" t="n"/>
      <c r="E63" s="64" t="n"/>
      <c r="F63" s="64" t="n"/>
      <c r="G63" s="64" t="n"/>
      <c r="H63" s="64" t="n"/>
      <c r="I63" s="64" t="n"/>
      <c r="J63" s="64" t="n"/>
      <c r="K63" s="64" t="n"/>
      <c r="L63" s="64" t="n"/>
      <c r="M63" s="64" t="n"/>
      <c r="N63" s="64" t="n"/>
      <c r="O63" s="64" t="n"/>
      <c r="P63" s="64" t="n"/>
      <c r="Q63" s="64" t="n"/>
      <c r="R63" s="64" t="n"/>
      <c r="S63" s="64" t="n"/>
      <c r="T63" s="64" t="n"/>
      <c r="U63" s="64" t="n"/>
      <c r="V63" s="64" t="n"/>
      <c r="W63" s="64" t="n"/>
      <c r="X63" s="64" t="n"/>
      <c r="Y63" s="64" t="n"/>
      <c r="Z63" s="64" t="n"/>
      <c r="AA63" s="64" t="n"/>
      <c r="AB63" s="64" t="n"/>
      <c r="AC63" s="36" t="n"/>
      <c r="AD63" s="36" t="n"/>
      <c r="AE63" s="36" t="n"/>
      <c r="AF63" s="36" t="n"/>
      <c r="AG63" s="36" t="n"/>
      <c r="AH63" s="36" t="n"/>
      <c r="AI63" s="36" t="n"/>
      <c r="AJ63" s="36" t="n"/>
      <c r="AK63" s="36" t="n"/>
      <c r="AL63" s="36" t="n"/>
      <c r="AM63" s="36" t="n"/>
      <c r="AN63" s="36" t="n"/>
      <c r="AO63" s="36" t="n"/>
      <c r="AP63" s="36" t="n"/>
      <c r="AQ63" s="36" t="n"/>
      <c r="AR63" s="36" t="n"/>
      <c r="AS63" s="36" t="n"/>
      <c r="AT63" s="36" t="n"/>
      <c r="AU63" s="36" t="n"/>
      <c r="AV63" s="36" t="n"/>
      <c r="AW63" s="36" t="n"/>
      <c r="AX63" s="36" t="n"/>
      <c r="AY63" s="36" t="n"/>
      <c r="AZ63" s="36" t="n"/>
      <c r="BA63" s="36" t="n"/>
      <c r="BB63" s="36" t="n"/>
      <c r="BC63" s="36" t="n"/>
      <c r="BD63" s="36" t="n"/>
      <c r="BE63" s="36" t="n"/>
      <c r="BF63" s="36" t="n"/>
      <c r="BG63" s="36" t="n"/>
      <c r="BH63" s="36" t="n"/>
      <c r="BI63" s="36" t="n"/>
      <c r="BJ63" s="36" t="n"/>
      <c r="BK63" s="36" t="n"/>
      <c r="BL63" s="36" t="n"/>
      <c r="BM63" s="36" t="n"/>
      <c r="BN63" s="36" t="n"/>
      <c r="BO63" s="36" t="n"/>
      <c r="BP63" s="36" t="n"/>
      <c r="BQ63" s="36" t="n"/>
      <c r="BR63" s="36" t="n"/>
      <c r="BS63" s="36" t="n"/>
      <c r="BT63" s="36" t="n"/>
      <c r="BU63" s="36" t="n"/>
      <c r="BV63" s="36" t="n"/>
      <c r="BW63" s="36" t="n"/>
      <c r="BX63" s="36" t="n"/>
      <c r="BY63" s="36" t="n"/>
      <c r="BZ63" s="36" t="n"/>
      <c r="CA63" s="36" t="n"/>
      <c r="CB63" s="36" t="n"/>
      <c r="CC63" s="36" t="n"/>
      <c r="CD63" s="36" t="n"/>
      <c r="CE63" s="36" t="n"/>
      <c r="CF63" s="36" t="n"/>
      <c r="CG63" s="36" t="n"/>
      <c r="CH63" s="36" t="n"/>
      <c r="CI63" s="36" t="n"/>
      <c r="CJ63" s="36" t="n"/>
      <c r="CK63" s="36" t="n"/>
      <c r="CL63" s="36" t="n"/>
      <c r="CM63" s="36" t="n"/>
      <c r="CN63" s="2" t="n"/>
      <c r="CO63" s="2" t="n"/>
      <c r="CP63" s="2" t="n"/>
      <c r="CQ63" s="2" t="n"/>
      <c r="CR63" s="2" t="n"/>
      <c r="CS63" s="2" t="n"/>
      <c r="CT63" s="2" t="n"/>
      <c r="CU63" s="2" t="n"/>
      <c r="CV63" s="2" t="n"/>
      <c r="CW63" s="2" t="n"/>
      <c r="CX63" s="2" t="n"/>
      <c r="CY63" s="2" t="n"/>
      <c r="CZ63" s="2" t="n"/>
      <c r="DA63" s="2" t="n"/>
      <c r="DB63" s="2" t="n"/>
      <c r="DC63" s="2" t="n"/>
      <c r="DD63" s="2" t="n"/>
      <c r="DE63" s="2" t="n"/>
      <c r="DF63" s="2" t="n"/>
      <c r="DG63" s="2" t="n"/>
      <c r="DH63" s="2" t="n"/>
    </row>
    <row r="64" ht="72" customFormat="1" customHeight="1" s="76">
      <c r="A64" s="33" t="n"/>
      <c r="B64" s="45" t="n"/>
      <c r="C64" s="53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  <c r="AB64" s="36" t="n"/>
      <c r="AC64" s="36" t="n"/>
      <c r="AD64" s="36" t="n"/>
      <c r="AE64" s="36" t="n"/>
      <c r="AF64" s="36" t="n"/>
      <c r="AG64" s="36" t="n"/>
      <c r="AH64" s="36" t="n"/>
      <c r="AI64" s="36" t="n"/>
      <c r="AJ64" s="36" t="n"/>
      <c r="AK64" s="36" t="n"/>
      <c r="AL64" s="36" t="n"/>
      <c r="AM64" s="36" t="n"/>
      <c r="AN64" s="36" t="n"/>
      <c r="AO64" s="36" t="n"/>
      <c r="AP64" s="36" t="n"/>
      <c r="AQ64" s="36" t="n"/>
      <c r="AR64" s="36" t="n"/>
      <c r="AS64" s="36" t="n"/>
      <c r="AT64" s="36" t="n"/>
      <c r="AU64" s="36" t="n"/>
      <c r="AV64" s="36" t="n"/>
      <c r="AW64" s="36" t="n"/>
      <c r="AX64" s="36" t="n"/>
      <c r="AY64" s="36" t="n"/>
      <c r="AZ64" s="36" t="n"/>
      <c r="BA64" s="36" t="n"/>
      <c r="BB64" s="36" t="n"/>
      <c r="BC64" s="36" t="n"/>
      <c r="BD64" s="36" t="n"/>
      <c r="BE64" s="36" t="n"/>
      <c r="BF64" s="36" t="n"/>
      <c r="BG64" s="36" t="n"/>
      <c r="BH64" s="36" t="n"/>
      <c r="BI64" s="36" t="n"/>
      <c r="BJ64" s="36" t="n"/>
      <c r="BK64" s="36" t="n"/>
      <c r="BL64" s="36" t="n"/>
      <c r="BM64" s="36" t="n"/>
      <c r="BN64" s="36" t="n"/>
      <c r="BO64" s="36" t="n"/>
      <c r="BP64" s="36" t="n"/>
      <c r="BQ64" s="36" t="n"/>
      <c r="BR64" s="36" t="n"/>
      <c r="BS64" s="36" t="n"/>
      <c r="BT64" s="36" t="n"/>
      <c r="BU64" s="36" t="n"/>
      <c r="BV64" s="36" t="n"/>
      <c r="BW64" s="36" t="n"/>
      <c r="BX64" s="36" t="n"/>
      <c r="BY64" s="36" t="n"/>
      <c r="BZ64" s="36" t="n"/>
      <c r="CA64" s="36" t="n"/>
      <c r="CB64" s="36" t="n"/>
      <c r="CC64" s="36" t="n"/>
      <c r="CD64" s="36" t="n"/>
      <c r="CE64" s="36" t="n"/>
      <c r="CF64" s="36" t="n"/>
      <c r="CG64" s="36" t="n"/>
      <c r="CH64" s="36" t="n"/>
      <c r="CI64" s="36" t="n"/>
      <c r="CJ64" s="36" t="n"/>
      <c r="CK64" s="36" t="n"/>
      <c r="CL64" s="36" t="n"/>
      <c r="CM64" s="36" t="n"/>
      <c r="CN64" s="2" t="n"/>
      <c r="CO64" s="2" t="n"/>
      <c r="CP64" s="2" t="n"/>
      <c r="CQ64" s="2" t="n"/>
      <c r="CR64" s="2" t="n"/>
      <c r="CS64" s="2" t="n"/>
      <c r="CT64" s="2" t="n"/>
      <c r="CU64" s="2" t="n"/>
      <c r="CV64" s="2" t="n"/>
      <c r="CW64" s="2" t="n"/>
      <c r="CX64" s="2" t="n"/>
      <c r="CY64" s="2" t="n"/>
      <c r="CZ64" s="2" t="n"/>
      <c r="DA64" s="2" t="n"/>
      <c r="DB64" s="2" t="n"/>
      <c r="DC64" s="2" t="n"/>
      <c r="DD64" s="2" t="n"/>
      <c r="DE64" s="2" t="n"/>
      <c r="DF64" s="2" t="n"/>
      <c r="DG64" s="2" t="n"/>
      <c r="DH64" s="2" t="n"/>
    </row>
    <row r="65" ht="72" customFormat="1" customHeight="1" s="76">
      <c r="A65" s="33" t="n"/>
      <c r="B65" s="45" t="n"/>
      <c r="C65" s="53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  <c r="AB65" s="36" t="n"/>
      <c r="AC65" s="36" t="n"/>
      <c r="AD65" s="36" t="n"/>
      <c r="AE65" s="36" t="n"/>
      <c r="AF65" s="36" t="n"/>
      <c r="AG65" s="36" t="n"/>
      <c r="AH65" s="36" t="n"/>
      <c r="AI65" s="36" t="n"/>
      <c r="AJ65" s="36" t="n"/>
      <c r="AK65" s="36" t="n"/>
      <c r="AL65" s="36" t="n"/>
      <c r="AM65" s="36" t="n"/>
      <c r="AN65" s="36" t="n"/>
      <c r="AO65" s="36" t="n"/>
      <c r="AP65" s="36" t="n"/>
      <c r="AQ65" s="36" t="n"/>
      <c r="AR65" s="36" t="n"/>
      <c r="AS65" s="36" t="n"/>
      <c r="AT65" s="36" t="n"/>
      <c r="AU65" s="36" t="n"/>
      <c r="AV65" s="36" t="n"/>
      <c r="AW65" s="36" t="n"/>
      <c r="AX65" s="36" t="n"/>
      <c r="AY65" s="36" t="n"/>
      <c r="AZ65" s="36" t="n"/>
      <c r="BA65" s="36" t="n"/>
      <c r="BB65" s="36" t="n"/>
      <c r="BC65" s="36" t="n"/>
      <c r="BD65" s="36" t="n"/>
      <c r="BE65" s="36" t="n"/>
      <c r="BF65" s="36" t="n"/>
      <c r="BG65" s="36" t="n"/>
      <c r="BH65" s="36" t="n"/>
      <c r="BI65" s="36" t="n"/>
      <c r="BJ65" s="36" t="n"/>
      <c r="BK65" s="36" t="n"/>
      <c r="BL65" s="36" t="n"/>
      <c r="BM65" s="36" t="n"/>
      <c r="BN65" s="36" t="n"/>
      <c r="BO65" s="36" t="n"/>
      <c r="BP65" s="36" t="n"/>
      <c r="BQ65" s="36" t="n"/>
      <c r="BR65" s="36" t="n"/>
      <c r="BS65" s="36" t="n"/>
      <c r="BT65" s="36" t="n"/>
      <c r="BU65" s="36" t="n"/>
      <c r="BV65" s="36" t="n"/>
      <c r="BW65" s="36" t="n"/>
      <c r="BX65" s="36" t="n"/>
      <c r="BY65" s="36" t="n"/>
      <c r="BZ65" s="36" t="n"/>
      <c r="CA65" s="36" t="n"/>
      <c r="CB65" s="36" t="n"/>
      <c r="CC65" s="36" t="n"/>
      <c r="CD65" s="36" t="n"/>
      <c r="CE65" s="36" t="n"/>
      <c r="CF65" s="36" t="n"/>
      <c r="CG65" s="36" t="n"/>
      <c r="CH65" s="36" t="n"/>
      <c r="CI65" s="36" t="n"/>
      <c r="CJ65" s="36" t="n"/>
      <c r="CK65" s="36" t="n"/>
      <c r="CL65" s="36" t="n"/>
      <c r="CM65" s="36" t="n"/>
      <c r="CN65" s="2" t="n"/>
      <c r="CO65" s="2" t="n"/>
      <c r="CP65" s="2" t="n"/>
      <c r="CQ65" s="2" t="n"/>
      <c r="CR65" s="2" t="n"/>
      <c r="CS65" s="2" t="n"/>
      <c r="CT65" s="2" t="n"/>
      <c r="CU65" s="2" t="n"/>
      <c r="CV65" s="2" t="n"/>
      <c r="CW65" s="2" t="n"/>
      <c r="CX65" s="2" t="n"/>
      <c r="CY65" s="2" t="n"/>
      <c r="CZ65" s="2" t="n"/>
      <c r="DA65" s="2" t="n"/>
      <c r="DB65" s="2" t="n"/>
      <c r="DC65" s="2" t="n"/>
      <c r="DD65" s="2" t="n"/>
      <c r="DE65" s="2" t="n"/>
      <c r="DF65" s="2" t="n"/>
      <c r="DG65" s="2" t="n"/>
      <c r="DH65" s="2" t="n"/>
    </row>
    <row r="66" ht="72" customFormat="1" customHeight="1" s="76">
      <c r="A66" s="33" t="n"/>
      <c r="B66" s="34" t="n"/>
      <c r="C66" s="45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  <c r="AB66" s="36" t="n"/>
      <c r="AC66" s="36" t="n"/>
      <c r="AD66" s="36" t="n"/>
      <c r="AE66" s="36" t="n"/>
      <c r="AF66" s="36" t="n"/>
      <c r="AG66" s="36" t="n"/>
      <c r="AH66" s="36" t="n"/>
      <c r="AI66" s="36" t="n"/>
      <c r="AJ66" s="36" t="n"/>
      <c r="AK66" s="36" t="n"/>
      <c r="AL66" s="36" t="n"/>
      <c r="AM66" s="36" t="n"/>
      <c r="AN66" s="36" t="n"/>
      <c r="AO66" s="36" t="n"/>
      <c r="AP66" s="36" t="n"/>
      <c r="AQ66" s="36" t="n"/>
      <c r="AR66" s="36" t="n"/>
      <c r="AS66" s="36" t="n"/>
      <c r="AT66" s="36" t="n"/>
      <c r="AU66" s="36" t="n"/>
      <c r="AV66" s="36" t="n"/>
      <c r="AW66" s="36" t="n"/>
      <c r="AX66" s="36" t="n"/>
      <c r="AY66" s="36" t="n"/>
      <c r="AZ66" s="36" t="n"/>
      <c r="BA66" s="36" t="n"/>
      <c r="BB66" s="36" t="n"/>
      <c r="BC66" s="36" t="n"/>
      <c r="BD66" s="36" t="n"/>
      <c r="BE66" s="36" t="n"/>
      <c r="BF66" s="36" t="n"/>
      <c r="BG66" s="36" t="n"/>
      <c r="BH66" s="36" t="n"/>
      <c r="BI66" s="36" t="n"/>
      <c r="BJ66" s="36" t="n"/>
      <c r="BK66" s="36" t="n"/>
      <c r="BL66" s="36" t="n"/>
      <c r="BM66" s="36" t="n"/>
      <c r="BN66" s="36" t="n"/>
      <c r="BO66" s="36" t="n"/>
      <c r="BP66" s="36" t="n"/>
      <c r="BQ66" s="36" t="n"/>
      <c r="BR66" s="36" t="n"/>
      <c r="BS66" s="36" t="n"/>
      <c r="BT66" s="36" t="n"/>
      <c r="BU66" s="36" t="n"/>
      <c r="BV66" s="36" t="n"/>
      <c r="BW66" s="36" t="n"/>
      <c r="BX66" s="36" t="n"/>
      <c r="BY66" s="36" t="n"/>
      <c r="BZ66" s="36" t="n"/>
      <c r="CA66" s="36" t="n"/>
      <c r="CB66" s="36" t="n"/>
      <c r="CC66" s="36" t="n"/>
      <c r="CD66" s="36" t="n"/>
      <c r="CE66" s="36" t="n"/>
      <c r="CF66" s="36" t="n"/>
      <c r="CG66" s="36" t="n"/>
      <c r="CH66" s="36" t="n"/>
      <c r="CI66" s="36" t="n"/>
      <c r="CJ66" s="36" t="n"/>
      <c r="CK66" s="36" t="n"/>
      <c r="CL66" s="36" t="n"/>
      <c r="CM66" s="36" t="n"/>
      <c r="CN66" s="2" t="n"/>
      <c r="CO66" s="2" t="n"/>
      <c r="CP66" s="2" t="n"/>
      <c r="CQ66" s="2" t="n"/>
      <c r="CR66" s="2" t="n"/>
      <c r="CS66" s="2" t="n"/>
      <c r="CT66" s="2" t="n"/>
      <c r="CU66" s="2" t="n"/>
      <c r="CV66" s="2" t="n"/>
      <c r="CW66" s="2" t="n"/>
      <c r="CX66" s="2" t="n"/>
      <c r="CY66" s="2" t="n"/>
      <c r="CZ66" s="2" t="n"/>
      <c r="DA66" s="2" t="n"/>
      <c r="DB66" s="2" t="n"/>
      <c r="DC66" s="2" t="n"/>
      <c r="DD66" s="2" t="n"/>
      <c r="DE66" s="2" t="n"/>
      <c r="DF66" s="2" t="n"/>
      <c r="DG66" s="2" t="n"/>
      <c r="DH66" s="2" t="n"/>
    </row>
    <row r="67" ht="72" customFormat="1" customHeight="1" s="76">
      <c r="A67" s="33" t="n"/>
      <c r="B67" s="34" t="n"/>
      <c r="C67" s="45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  <c r="V67" s="36" t="n"/>
      <c r="W67" s="36" t="n"/>
      <c r="X67" s="36" t="n"/>
      <c r="Y67" s="36" t="n"/>
      <c r="Z67" s="36" t="n"/>
      <c r="AA67" s="36" t="n"/>
      <c r="AB67" s="36" t="n"/>
      <c r="AC67" s="36" t="n"/>
      <c r="AD67" s="36" t="n"/>
      <c r="AE67" s="36" t="n"/>
      <c r="AF67" s="36" t="n"/>
      <c r="AG67" s="36" t="n"/>
      <c r="AH67" s="36" t="n"/>
      <c r="AI67" s="36" t="n"/>
      <c r="AJ67" s="36" t="n"/>
      <c r="AK67" s="36" t="n"/>
      <c r="AL67" s="36" t="n"/>
      <c r="AM67" s="36" t="n"/>
      <c r="AN67" s="36" t="n"/>
      <c r="AO67" s="36" t="n"/>
      <c r="AP67" s="36" t="n"/>
      <c r="AQ67" s="36" t="n"/>
      <c r="AR67" s="36" t="n"/>
      <c r="AS67" s="36" t="n"/>
      <c r="AT67" s="36" t="n"/>
      <c r="AU67" s="36" t="n"/>
      <c r="AV67" s="36" t="n"/>
      <c r="AW67" s="36" t="n"/>
      <c r="AX67" s="36" t="n"/>
      <c r="AY67" s="36" t="n"/>
      <c r="AZ67" s="36" t="n"/>
      <c r="BA67" s="36" t="n"/>
      <c r="BB67" s="36" t="n"/>
      <c r="BC67" s="36" t="n"/>
      <c r="BD67" s="36" t="n"/>
      <c r="BE67" s="36" t="n"/>
      <c r="BF67" s="36" t="n"/>
      <c r="BG67" s="36" t="n"/>
      <c r="BH67" s="36" t="n"/>
      <c r="BI67" s="36" t="n"/>
      <c r="BJ67" s="36" t="n"/>
      <c r="BK67" s="36" t="n"/>
      <c r="BL67" s="36" t="n"/>
      <c r="BM67" s="36" t="n"/>
      <c r="BN67" s="36" t="n"/>
      <c r="BO67" s="36" t="n"/>
      <c r="BP67" s="36" t="n"/>
      <c r="BQ67" s="36" t="n"/>
      <c r="BR67" s="36" t="n"/>
      <c r="BS67" s="36" t="n"/>
      <c r="BT67" s="36" t="n"/>
      <c r="BU67" s="36" t="n"/>
      <c r="BV67" s="36" t="n"/>
      <c r="BW67" s="36" t="n"/>
      <c r="BX67" s="36" t="n"/>
      <c r="BY67" s="36" t="n"/>
      <c r="BZ67" s="36" t="n"/>
      <c r="CA67" s="36" t="n"/>
      <c r="CB67" s="36" t="n"/>
      <c r="CC67" s="36" t="n"/>
      <c r="CD67" s="36" t="n"/>
      <c r="CE67" s="36" t="n"/>
      <c r="CF67" s="36" t="n"/>
      <c r="CG67" s="36" t="n"/>
      <c r="CH67" s="36" t="n"/>
      <c r="CI67" s="36" t="n"/>
      <c r="CJ67" s="36" t="n"/>
      <c r="CK67" s="36" t="n"/>
      <c r="CL67" s="36" t="n"/>
      <c r="CM67" s="36" t="n"/>
      <c r="CN67" s="2" t="n"/>
      <c r="CO67" s="2" t="n"/>
      <c r="CP67" s="2" t="n"/>
      <c r="CQ67" s="2" t="n"/>
      <c r="CR67" s="2" t="n"/>
      <c r="CS67" s="2" t="n"/>
      <c r="CT67" s="2" t="n"/>
      <c r="CU67" s="2" t="n"/>
      <c r="CV67" s="2" t="n"/>
      <c r="CW67" s="2" t="n"/>
      <c r="CX67" s="2" t="n"/>
      <c r="CY67" s="2" t="n"/>
      <c r="CZ67" s="2" t="n"/>
      <c r="DA67" s="2" t="n"/>
      <c r="DB67" s="2" t="n"/>
      <c r="DC67" s="2" t="n"/>
      <c r="DD67" s="2" t="n"/>
      <c r="DE67" s="2" t="n"/>
      <c r="DF67" s="2" t="n"/>
      <c r="DG67" s="2" t="n"/>
      <c r="DH67" s="2" t="n"/>
    </row>
    <row r="68" ht="21.95" customFormat="1" customHeight="1" s="76">
      <c r="A68" s="33" t="n"/>
      <c r="B68" s="34" t="n"/>
      <c r="C68" s="4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  <c r="AB68" s="36" t="n"/>
      <c r="AC68" s="36" t="n"/>
      <c r="AD68" s="36" t="n"/>
      <c r="AE68" s="36" t="n"/>
      <c r="AF68" s="36" t="n"/>
      <c r="AG68" s="36" t="n"/>
      <c r="AH68" s="36" t="n"/>
      <c r="AI68" s="36" t="n"/>
      <c r="AJ68" s="36" t="n"/>
      <c r="AK68" s="36" t="n"/>
      <c r="AL68" s="36" t="n"/>
      <c r="AM68" s="36" t="n"/>
      <c r="AN68" s="36" t="n"/>
      <c r="AO68" s="36" t="n"/>
      <c r="AP68" s="36" t="n"/>
      <c r="AQ68" s="36" t="n"/>
      <c r="AR68" s="36" t="n"/>
      <c r="AS68" s="36" t="n"/>
      <c r="AT68" s="36" t="n"/>
      <c r="AU68" s="36" t="n"/>
      <c r="AV68" s="36" t="n"/>
      <c r="AW68" s="36" t="n"/>
      <c r="AX68" s="36" t="n"/>
      <c r="AY68" s="36" t="n"/>
      <c r="AZ68" s="36" t="n"/>
      <c r="BA68" s="36" t="n"/>
      <c r="BB68" s="36" t="n"/>
      <c r="BC68" s="36" t="n"/>
      <c r="BD68" s="36" t="n"/>
      <c r="BE68" s="36" t="n"/>
      <c r="BF68" s="36" t="n"/>
      <c r="BG68" s="36" t="n"/>
      <c r="BH68" s="36" t="n"/>
      <c r="BI68" s="36" t="n"/>
      <c r="BJ68" s="36" t="n"/>
      <c r="BK68" s="36" t="n"/>
      <c r="BL68" s="36" t="n"/>
      <c r="BM68" s="36" t="n"/>
      <c r="BN68" s="36" t="n"/>
      <c r="BO68" s="36" t="n"/>
      <c r="BP68" s="36" t="n"/>
      <c r="BQ68" s="36" t="n"/>
      <c r="BR68" s="36" t="n"/>
      <c r="BS68" s="36" t="n"/>
      <c r="BT68" s="36" t="n"/>
      <c r="BU68" s="36" t="n"/>
      <c r="BV68" s="36" t="n"/>
      <c r="BW68" s="36" t="n"/>
      <c r="BX68" s="36" t="n"/>
      <c r="BY68" s="36" t="n"/>
      <c r="BZ68" s="36" t="n"/>
      <c r="CA68" s="36" t="n"/>
      <c r="CB68" s="36" t="n"/>
      <c r="CC68" s="36" t="n"/>
      <c r="CD68" s="36" t="n"/>
      <c r="CE68" s="36" t="n"/>
      <c r="CF68" s="36" t="n"/>
      <c r="CG68" s="36" t="n"/>
      <c r="CH68" s="36" t="n"/>
      <c r="CI68" s="36" t="n"/>
      <c r="CJ68" s="36" t="n"/>
      <c r="CK68" s="36" t="n"/>
      <c r="CL68" s="36" t="n"/>
      <c r="CM68" s="36" t="n"/>
      <c r="CN68" s="2" t="n"/>
      <c r="CO68" s="2" t="n"/>
      <c r="CP68" s="2" t="n"/>
      <c r="CQ68" s="2" t="n"/>
      <c r="CR68" s="2" t="n"/>
      <c r="CS68" s="2" t="n"/>
      <c r="CT68" s="2" t="n"/>
      <c r="CU68" s="2" t="n"/>
      <c r="CV68" s="2" t="n"/>
      <c r="CW68" s="2" t="n"/>
      <c r="CX68" s="2" t="n"/>
      <c r="CY68" s="2" t="n"/>
      <c r="CZ68" s="2" t="n"/>
      <c r="DA68" s="2" t="n"/>
      <c r="DB68" s="2" t="n"/>
      <c r="DC68" s="2" t="n"/>
      <c r="DD68" s="2" t="n"/>
      <c r="DE68" s="2" t="n"/>
      <c r="DF68" s="2" t="n"/>
      <c r="DG68" s="2" t="n"/>
      <c r="DH68" s="2" t="n"/>
    </row>
    <row r="69" ht="72" customFormat="1" customHeight="1" s="76">
      <c r="A69" s="33" t="n"/>
      <c r="B69" s="34" t="n"/>
      <c r="C69" s="45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  <c r="AB69" s="36" t="n"/>
      <c r="AC69" s="36" t="n"/>
      <c r="AD69" s="36" t="n"/>
      <c r="AE69" s="36" t="n"/>
      <c r="AF69" s="36" t="n"/>
      <c r="AG69" s="36" t="n"/>
      <c r="AH69" s="36" t="n"/>
      <c r="AI69" s="36" t="n"/>
      <c r="AJ69" s="36" t="n"/>
      <c r="AK69" s="36" t="n"/>
      <c r="AL69" s="36" t="n"/>
      <c r="AM69" s="36" t="n"/>
      <c r="AN69" s="36" t="n"/>
      <c r="AO69" s="36" t="n"/>
      <c r="AP69" s="36" t="n"/>
      <c r="AQ69" s="36" t="n"/>
      <c r="AR69" s="36" t="n"/>
      <c r="AS69" s="36" t="n"/>
      <c r="AT69" s="36" t="n"/>
      <c r="AU69" s="36" t="n"/>
      <c r="AV69" s="36" t="n"/>
      <c r="AW69" s="36" t="n"/>
      <c r="AX69" s="36" t="n"/>
      <c r="AY69" s="36" t="n"/>
      <c r="AZ69" s="36" t="n"/>
      <c r="BA69" s="36" t="n"/>
      <c r="BB69" s="36" t="n"/>
      <c r="BC69" s="36" t="n"/>
      <c r="BD69" s="36" t="n"/>
      <c r="BE69" s="36" t="n"/>
      <c r="BF69" s="36" t="n"/>
      <c r="BG69" s="36" t="n"/>
      <c r="BH69" s="36" t="n"/>
      <c r="BI69" s="36" t="n"/>
      <c r="BJ69" s="36" t="n"/>
      <c r="BK69" s="36" t="n"/>
      <c r="BL69" s="36" t="n"/>
      <c r="BM69" s="36" t="n"/>
      <c r="BN69" s="36" t="n"/>
      <c r="BO69" s="36" t="n"/>
      <c r="BP69" s="36" t="n"/>
      <c r="BQ69" s="36" t="n"/>
      <c r="BR69" s="36" t="n"/>
      <c r="BS69" s="36" t="n"/>
      <c r="BT69" s="36" t="n"/>
      <c r="BU69" s="36" t="n"/>
      <c r="BV69" s="36" t="n"/>
      <c r="BW69" s="36" t="n"/>
      <c r="BX69" s="36" t="n"/>
      <c r="BY69" s="36" t="n"/>
      <c r="BZ69" s="36" t="n"/>
      <c r="CA69" s="36" t="n"/>
      <c r="CB69" s="36" t="n"/>
      <c r="CC69" s="36" t="n"/>
      <c r="CD69" s="36" t="n"/>
      <c r="CE69" s="36" t="n"/>
      <c r="CF69" s="36" t="n"/>
      <c r="CG69" s="36" t="n"/>
      <c r="CH69" s="36" t="n"/>
      <c r="CI69" s="36" t="n"/>
      <c r="CJ69" s="36" t="n"/>
      <c r="CK69" s="36" t="n"/>
      <c r="CL69" s="36" t="n"/>
      <c r="CM69" s="36" t="n"/>
      <c r="CN69" s="2" t="n"/>
      <c r="CO69" s="2" t="n"/>
      <c r="CP69" s="2" t="n"/>
      <c r="CQ69" s="2" t="n"/>
      <c r="CR69" s="2" t="n"/>
      <c r="CS69" s="2" t="n"/>
      <c r="CT69" s="2" t="n"/>
      <c r="CU69" s="2" t="n"/>
      <c r="CV69" s="2" t="n"/>
      <c r="CW69" s="2" t="n"/>
      <c r="CX69" s="2" t="n"/>
      <c r="CY69" s="2" t="n"/>
      <c r="CZ69" s="2" t="n"/>
      <c r="DA69" s="2" t="n"/>
      <c r="DB69" s="2" t="n"/>
      <c r="DC69" s="2" t="n"/>
      <c r="DD69" s="2" t="n"/>
      <c r="DE69" s="2" t="n"/>
      <c r="DF69" s="2" t="n"/>
      <c r="DG69" s="2" t="n"/>
      <c r="DH69" s="2" t="n"/>
    </row>
    <row r="70" ht="72" customFormat="1" customHeight="1" s="76">
      <c r="A70" s="33" t="n"/>
      <c r="B70" s="34" t="n"/>
      <c r="C70" s="45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  <c r="AB70" s="36" t="n"/>
      <c r="AC70" s="36" t="n"/>
      <c r="AD70" s="36" t="n"/>
      <c r="AE70" s="36" t="n"/>
      <c r="AF70" s="36" t="n"/>
      <c r="AG70" s="36" t="n"/>
      <c r="AH70" s="36" t="n"/>
      <c r="AI70" s="36" t="n"/>
      <c r="AJ70" s="36" t="n"/>
      <c r="AK70" s="36" t="n"/>
      <c r="AL70" s="36" t="n"/>
      <c r="AM70" s="36" t="n"/>
      <c r="AN70" s="36" t="n"/>
      <c r="AO70" s="36" t="n"/>
      <c r="AP70" s="36" t="n"/>
      <c r="AQ70" s="36" t="n"/>
      <c r="AR70" s="36" t="n"/>
      <c r="AS70" s="36" t="n"/>
      <c r="AT70" s="36" t="n"/>
      <c r="AU70" s="36" t="n"/>
      <c r="AV70" s="36" t="n"/>
      <c r="AW70" s="36" t="n"/>
      <c r="AX70" s="36" t="n"/>
      <c r="AY70" s="36" t="n"/>
      <c r="AZ70" s="36" t="n"/>
      <c r="BA70" s="36" t="n"/>
      <c r="BB70" s="36" t="n"/>
      <c r="BC70" s="36" t="n"/>
      <c r="BD70" s="36" t="n"/>
      <c r="BE70" s="36" t="n"/>
      <c r="BF70" s="36" t="n"/>
      <c r="BG70" s="36" t="n"/>
      <c r="BH70" s="36" t="n"/>
      <c r="BI70" s="36" t="n"/>
      <c r="BJ70" s="36" t="n"/>
      <c r="BK70" s="36" t="n"/>
      <c r="BL70" s="36" t="n"/>
      <c r="BM70" s="36" t="n"/>
      <c r="BN70" s="36" t="n"/>
      <c r="BO70" s="36" t="n"/>
      <c r="BP70" s="36" t="n"/>
      <c r="BQ70" s="36" t="n"/>
      <c r="BR70" s="36" t="n"/>
      <c r="BS70" s="36" t="n"/>
      <c r="BT70" s="36" t="n"/>
      <c r="BU70" s="36" t="n"/>
      <c r="BV70" s="36" t="n"/>
      <c r="BW70" s="36" t="n"/>
      <c r="BX70" s="36" t="n"/>
      <c r="BY70" s="36" t="n"/>
      <c r="BZ70" s="36" t="n"/>
      <c r="CA70" s="36" t="n"/>
      <c r="CB70" s="36" t="n"/>
      <c r="CC70" s="36" t="n"/>
      <c r="CD70" s="36" t="n"/>
      <c r="CE70" s="36" t="n"/>
      <c r="CF70" s="36" t="n"/>
      <c r="CG70" s="36" t="n"/>
      <c r="CH70" s="36" t="n"/>
      <c r="CI70" s="36" t="n"/>
      <c r="CJ70" s="36" t="n"/>
      <c r="CK70" s="36" t="n"/>
      <c r="CL70" s="36" t="n"/>
      <c r="CM70" s="36" t="n"/>
      <c r="CN70" s="2" t="n"/>
      <c r="CO70" s="2" t="n"/>
      <c r="CP70" s="2" t="n"/>
      <c r="CQ70" s="2" t="n"/>
      <c r="CR70" s="2" t="n"/>
      <c r="CS70" s="2" t="n"/>
      <c r="CT70" s="2" t="n"/>
      <c r="CU70" s="2" t="n"/>
      <c r="CV70" s="2" t="n"/>
      <c r="CW70" s="2" t="n"/>
      <c r="CX70" s="2" t="n"/>
      <c r="CY70" s="2" t="n"/>
      <c r="CZ70" s="2" t="n"/>
      <c r="DA70" s="2" t="n"/>
      <c r="DB70" s="2" t="n"/>
      <c r="DC70" s="2" t="n"/>
      <c r="DD70" s="2" t="n"/>
      <c r="DE70" s="2" t="n"/>
      <c r="DF70" s="2" t="n"/>
      <c r="DG70" s="2" t="n"/>
      <c r="DH70" s="2" t="n"/>
    </row>
    <row r="71" ht="72" customFormat="1" customHeight="1" s="76">
      <c r="A71" s="33" t="n"/>
      <c r="B71" s="34" t="n"/>
      <c r="C71" s="4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  <c r="AB71" s="36" t="n"/>
      <c r="AC71" s="36" t="n"/>
      <c r="AD71" s="36" t="n"/>
      <c r="AE71" s="36" t="n"/>
      <c r="AF71" s="36" t="n"/>
      <c r="AG71" s="36" t="n"/>
      <c r="AH71" s="36" t="n"/>
      <c r="AI71" s="36" t="n"/>
      <c r="AJ71" s="36" t="n"/>
      <c r="AK71" s="36" t="n"/>
      <c r="AL71" s="36" t="n"/>
      <c r="AM71" s="36" t="n"/>
      <c r="AN71" s="36" t="n"/>
      <c r="AO71" s="36" t="n"/>
      <c r="AP71" s="36" t="n"/>
      <c r="AQ71" s="36" t="n"/>
      <c r="AR71" s="36" t="n"/>
      <c r="AS71" s="36" t="n"/>
      <c r="AT71" s="36" t="n"/>
      <c r="AU71" s="36" t="n"/>
      <c r="AV71" s="36" t="n"/>
      <c r="AW71" s="36" t="n"/>
      <c r="AX71" s="36" t="n"/>
      <c r="AY71" s="36" t="n"/>
      <c r="AZ71" s="36" t="n"/>
      <c r="BA71" s="36" t="n"/>
      <c r="BB71" s="36" t="n"/>
      <c r="BC71" s="36" t="n"/>
      <c r="BD71" s="36" t="n"/>
      <c r="BE71" s="36" t="n"/>
      <c r="BF71" s="36" t="n"/>
      <c r="BG71" s="36" t="n"/>
      <c r="BH71" s="36" t="n"/>
      <c r="BI71" s="36" t="n"/>
      <c r="BJ71" s="36" t="n"/>
      <c r="BK71" s="36" t="n"/>
      <c r="BL71" s="36" t="n"/>
      <c r="BM71" s="36" t="n"/>
      <c r="BN71" s="36" t="n"/>
      <c r="BO71" s="36" t="n"/>
      <c r="BP71" s="36" t="n"/>
      <c r="BQ71" s="36" t="n"/>
      <c r="BR71" s="36" t="n"/>
      <c r="BS71" s="36" t="n"/>
      <c r="BT71" s="36" t="n"/>
      <c r="BU71" s="36" t="n"/>
      <c r="BV71" s="36" t="n"/>
      <c r="BW71" s="36" t="n"/>
      <c r="BX71" s="36" t="n"/>
      <c r="BY71" s="36" t="n"/>
      <c r="BZ71" s="36" t="n"/>
      <c r="CA71" s="36" t="n"/>
      <c r="CB71" s="36" t="n"/>
      <c r="CC71" s="36" t="n"/>
      <c r="CD71" s="36" t="n"/>
      <c r="CE71" s="36" t="n"/>
      <c r="CF71" s="36" t="n"/>
      <c r="CG71" s="36" t="n"/>
      <c r="CH71" s="36" t="n"/>
      <c r="CI71" s="36" t="n"/>
      <c r="CJ71" s="36" t="n"/>
      <c r="CK71" s="36" t="n"/>
      <c r="CL71" s="36" t="n"/>
      <c r="CM71" s="36" t="n"/>
      <c r="CN71" s="2" t="n"/>
      <c r="CO71" s="2" t="n"/>
      <c r="CP71" s="2" t="n"/>
      <c r="CQ71" s="2" t="n"/>
      <c r="CR71" s="2" t="n"/>
      <c r="CS71" s="2" t="n"/>
      <c r="CT71" s="2" t="n"/>
      <c r="CU71" s="2" t="n"/>
      <c r="CV71" s="2" t="n"/>
      <c r="CW71" s="2" t="n"/>
      <c r="CX71" s="2" t="n"/>
      <c r="CY71" s="2" t="n"/>
      <c r="CZ71" s="2" t="n"/>
      <c r="DA71" s="2" t="n"/>
      <c r="DB71" s="2" t="n"/>
      <c r="DC71" s="2" t="n"/>
      <c r="DD71" s="2" t="n"/>
      <c r="DE71" s="2" t="n"/>
      <c r="DF71" s="2" t="n"/>
      <c r="DG71" s="2" t="n"/>
      <c r="DH71" s="2" t="n"/>
    </row>
    <row r="72" ht="72" customFormat="1" customHeight="1" s="76">
      <c r="A72" s="33" t="n"/>
      <c r="B72" s="35" t="n"/>
      <c r="C72" s="46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7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7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7" t="n"/>
      <c r="BO72" s="37" t="n"/>
      <c r="BP72" s="37" t="n"/>
      <c r="BQ72" s="37" t="n"/>
      <c r="BR72" s="37" t="n"/>
      <c r="BS72" s="37" t="n"/>
      <c r="BT72" s="37" t="n"/>
      <c r="BU72" s="37" t="n"/>
      <c r="BV72" s="37" t="n"/>
      <c r="BW72" s="37" t="n"/>
      <c r="BX72" s="37" t="n"/>
      <c r="BY72" s="37" t="n"/>
      <c r="BZ72" s="37" t="n"/>
      <c r="CA72" s="37" t="n"/>
      <c r="CB72" s="37" t="n"/>
      <c r="CC72" s="37" t="n"/>
      <c r="CD72" s="37" t="n"/>
      <c r="CE72" s="37" t="n"/>
      <c r="CF72" s="37" t="n"/>
      <c r="CG72" s="37" t="n"/>
      <c r="CH72" s="37" t="n"/>
      <c r="CI72" s="37" t="n"/>
      <c r="CJ72" s="37" t="n"/>
      <c r="CK72" s="37" t="n"/>
      <c r="CL72" s="37" t="n"/>
      <c r="CM72" s="37" t="n"/>
      <c r="CN72" s="2" t="n"/>
      <c r="CO72" s="2" t="n"/>
      <c r="CP72" s="2" t="n"/>
      <c r="CQ72" s="2" t="n"/>
      <c r="CR72" s="2" t="n"/>
      <c r="CS72" s="2" t="n"/>
      <c r="CT72" s="2" t="n"/>
      <c r="CU72" s="2" t="n"/>
      <c r="CV72" s="2" t="n"/>
      <c r="CW72" s="2" t="n"/>
      <c r="CX72" s="2" t="n"/>
      <c r="CY72" s="2" t="n"/>
      <c r="CZ72" s="2" t="n"/>
      <c r="DA72" s="2" t="n"/>
      <c r="DB72" s="2" t="n"/>
      <c r="DC72" s="2" t="n"/>
      <c r="DD72" s="2" t="n"/>
      <c r="DE72" s="2" t="n"/>
      <c r="DF72" s="2" t="n"/>
      <c r="DG72" s="2" t="n"/>
      <c r="DH72" s="2" t="n"/>
    </row>
    <row r="73" ht="72" customFormat="1" customHeight="1" s="76">
      <c r="A73" s="33" t="n"/>
      <c r="B73" s="34" t="n"/>
      <c r="C73" s="45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  <c r="V73" s="36" t="n"/>
      <c r="W73" s="36" t="n"/>
      <c r="X73" s="36" t="n"/>
      <c r="Y73" s="36" t="n"/>
      <c r="Z73" s="36" t="n"/>
      <c r="AA73" s="36" t="n"/>
      <c r="AB73" s="36" t="n"/>
      <c r="AC73" s="36" t="n"/>
      <c r="AD73" s="36" t="n"/>
      <c r="AE73" s="36" t="n"/>
      <c r="AF73" s="36" t="n"/>
      <c r="AG73" s="36" t="n"/>
      <c r="AH73" s="36" t="n"/>
      <c r="AI73" s="36" t="n"/>
      <c r="AJ73" s="36" t="n"/>
      <c r="AK73" s="36" t="n"/>
      <c r="AL73" s="36" t="n"/>
      <c r="AM73" s="36" t="n"/>
      <c r="AN73" s="36" t="n"/>
      <c r="AO73" s="36" t="n"/>
      <c r="AP73" s="36" t="n"/>
      <c r="AQ73" s="36" t="n"/>
      <c r="AR73" s="36" t="n"/>
      <c r="AS73" s="36" t="n"/>
      <c r="AT73" s="36" t="n"/>
      <c r="AU73" s="36" t="n"/>
      <c r="AV73" s="36" t="n"/>
      <c r="AW73" s="36" t="n"/>
      <c r="AX73" s="36" t="n"/>
      <c r="AY73" s="36" t="n"/>
      <c r="AZ73" s="36" t="n"/>
      <c r="BA73" s="36" t="n"/>
      <c r="BB73" s="36" t="n"/>
      <c r="BC73" s="36" t="n"/>
      <c r="BD73" s="36" t="n"/>
      <c r="BE73" s="36" t="n"/>
      <c r="BF73" s="36" t="n"/>
      <c r="BG73" s="36" t="n"/>
      <c r="BH73" s="36" t="n"/>
      <c r="BI73" s="36" t="n"/>
      <c r="BJ73" s="36" t="n"/>
      <c r="BK73" s="36" t="n"/>
      <c r="BL73" s="36" t="n"/>
      <c r="BM73" s="36" t="n"/>
      <c r="BN73" s="36" t="n"/>
      <c r="BO73" s="36" t="n"/>
      <c r="BP73" s="36" t="n"/>
      <c r="BQ73" s="36" t="n"/>
      <c r="BR73" s="36" t="n"/>
      <c r="BS73" s="36" t="n"/>
      <c r="BT73" s="36" t="n"/>
      <c r="BU73" s="36" t="n"/>
      <c r="BV73" s="36" t="n"/>
      <c r="BW73" s="36" t="n"/>
      <c r="BX73" s="36" t="n"/>
      <c r="BY73" s="36" t="n"/>
      <c r="BZ73" s="36" t="n"/>
      <c r="CA73" s="36" t="n"/>
      <c r="CB73" s="36" t="n"/>
      <c r="CC73" s="36" t="n"/>
      <c r="CD73" s="36" t="n"/>
      <c r="CE73" s="36" t="n"/>
      <c r="CF73" s="36" t="n"/>
      <c r="CG73" s="36" t="n"/>
      <c r="CH73" s="36" t="n"/>
      <c r="CI73" s="36" t="n"/>
      <c r="CJ73" s="36" t="n"/>
      <c r="CK73" s="36" t="n"/>
      <c r="CL73" s="36" t="n"/>
      <c r="CM73" s="36" t="n"/>
      <c r="CN73" s="2" t="n"/>
      <c r="CO73" s="2" t="n"/>
      <c r="CP73" s="2" t="n"/>
      <c r="CQ73" s="2" t="n"/>
      <c r="CR73" s="2" t="n"/>
      <c r="CS73" s="2" t="n"/>
      <c r="CT73" s="2" t="n"/>
      <c r="CU73" s="2" t="n"/>
      <c r="CV73" s="2" t="n"/>
      <c r="CW73" s="2" t="n"/>
      <c r="CX73" s="2" t="n"/>
      <c r="CY73" s="2" t="n"/>
      <c r="CZ73" s="2" t="n"/>
      <c r="DA73" s="2" t="n"/>
      <c r="DB73" s="2" t="n"/>
      <c r="DC73" s="2" t="n"/>
      <c r="DD73" s="2" t="n"/>
      <c r="DE73" s="2" t="n"/>
      <c r="DF73" s="2" t="n"/>
      <c r="DG73" s="2" t="n"/>
      <c r="DH73" s="2" t="n"/>
    </row>
    <row r="74" ht="72" customFormat="1" customHeight="1" s="76">
      <c r="A74" s="33" t="n"/>
      <c r="B74" s="34" t="n"/>
      <c r="C74" s="4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  <c r="AB74" s="36" t="n"/>
      <c r="AC74" s="36" t="n"/>
      <c r="AD74" s="36" t="n"/>
      <c r="AE74" s="36" t="n"/>
      <c r="AF74" s="36" t="n"/>
      <c r="AG74" s="36" t="n"/>
      <c r="AH74" s="36" t="n"/>
      <c r="AI74" s="36" t="n"/>
      <c r="AJ74" s="36" t="n"/>
      <c r="AK74" s="36" t="n"/>
      <c r="AL74" s="36" t="n"/>
      <c r="AM74" s="36" t="n"/>
      <c r="AN74" s="36" t="n"/>
      <c r="AO74" s="36" t="n"/>
      <c r="AP74" s="36" t="n"/>
      <c r="AQ74" s="36" t="n"/>
      <c r="AR74" s="36" t="n"/>
      <c r="AS74" s="36" t="n"/>
      <c r="AT74" s="36" t="n"/>
      <c r="AU74" s="36" t="n"/>
      <c r="AV74" s="36" t="n"/>
      <c r="AW74" s="36" t="n"/>
      <c r="AX74" s="36" t="n"/>
      <c r="AY74" s="36" t="n"/>
      <c r="AZ74" s="36" t="n"/>
      <c r="BA74" s="36" t="n"/>
      <c r="BB74" s="36" t="n"/>
      <c r="BC74" s="36" t="n"/>
      <c r="BD74" s="36" t="n"/>
      <c r="BE74" s="36" t="n"/>
      <c r="BF74" s="36" t="n"/>
      <c r="BG74" s="36" t="n"/>
      <c r="BH74" s="36" t="n"/>
      <c r="BI74" s="36" t="n"/>
      <c r="BJ74" s="36" t="n"/>
      <c r="BK74" s="36" t="n"/>
      <c r="BL74" s="36" t="n"/>
      <c r="BM74" s="36" t="n"/>
      <c r="BN74" s="36" t="n"/>
      <c r="BO74" s="36" t="n"/>
      <c r="BP74" s="36" t="n"/>
      <c r="BQ74" s="36" t="n"/>
      <c r="BR74" s="36" t="n"/>
      <c r="BS74" s="36" t="n"/>
      <c r="BT74" s="36" t="n"/>
      <c r="BU74" s="36" t="n"/>
      <c r="BV74" s="36" t="n"/>
      <c r="BW74" s="36" t="n"/>
      <c r="BX74" s="36" t="n"/>
      <c r="BY74" s="36" t="n"/>
      <c r="BZ74" s="36" t="n"/>
      <c r="CA74" s="36" t="n"/>
      <c r="CB74" s="36" t="n"/>
      <c r="CC74" s="36" t="n"/>
      <c r="CD74" s="36" t="n"/>
      <c r="CE74" s="36" t="n"/>
      <c r="CF74" s="36" t="n"/>
      <c r="CG74" s="36" t="n"/>
      <c r="CH74" s="36" t="n"/>
      <c r="CI74" s="36" t="n"/>
      <c r="CJ74" s="36" t="n"/>
      <c r="CK74" s="36" t="n"/>
      <c r="CL74" s="36" t="n"/>
      <c r="CM74" s="36" t="n"/>
      <c r="CN74" s="2" t="n"/>
      <c r="CO74" s="2" t="n"/>
      <c r="CP74" s="2" t="n"/>
      <c r="CQ74" s="2" t="n"/>
      <c r="CR74" s="2" t="n"/>
      <c r="CS74" s="2" t="n"/>
      <c r="CT74" s="2" t="n"/>
      <c r="CU74" s="2" t="n"/>
      <c r="CV74" s="2" t="n"/>
      <c r="CW74" s="2" t="n"/>
      <c r="CX74" s="2" t="n"/>
      <c r="CY74" s="2" t="n"/>
      <c r="CZ74" s="2" t="n"/>
      <c r="DA74" s="2" t="n"/>
      <c r="DB74" s="2" t="n"/>
      <c r="DC74" s="2" t="n"/>
      <c r="DD74" s="2" t="n"/>
      <c r="DE74" s="2" t="n"/>
      <c r="DF74" s="2" t="n"/>
      <c r="DG74" s="2" t="n"/>
      <c r="DH74" s="2" t="n"/>
    </row>
    <row r="75" ht="72" customFormat="1" customHeight="1" s="76">
      <c r="A75" s="33" t="n"/>
      <c r="B75" s="34" t="n"/>
      <c r="C75" s="4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  <c r="AB75" s="36" t="n"/>
      <c r="AC75" s="36" t="n"/>
      <c r="AD75" s="36" t="n"/>
      <c r="AE75" s="36" t="n"/>
      <c r="AF75" s="36" t="n"/>
      <c r="AG75" s="36" t="n"/>
      <c r="AH75" s="36" t="n"/>
      <c r="AI75" s="36" t="n"/>
      <c r="AJ75" s="36" t="n"/>
      <c r="AK75" s="36" t="n"/>
      <c r="AL75" s="36" t="n"/>
      <c r="AM75" s="36" t="n"/>
      <c r="AN75" s="36" t="n"/>
      <c r="AO75" s="36" t="n"/>
      <c r="AP75" s="36" t="n"/>
      <c r="AQ75" s="36" t="n"/>
      <c r="AR75" s="36" t="n"/>
      <c r="AS75" s="36" t="n"/>
      <c r="AT75" s="36" t="n"/>
      <c r="AU75" s="36" t="n"/>
      <c r="AV75" s="36" t="n"/>
      <c r="AW75" s="36" t="n"/>
      <c r="AX75" s="36" t="n"/>
      <c r="AY75" s="36" t="n"/>
      <c r="AZ75" s="36" t="n"/>
      <c r="BA75" s="36" t="n"/>
      <c r="BB75" s="36" t="n"/>
      <c r="BC75" s="36" t="n"/>
      <c r="BD75" s="36" t="n"/>
      <c r="BE75" s="36" t="n"/>
      <c r="BF75" s="36" t="n"/>
      <c r="BG75" s="36" t="n"/>
      <c r="BH75" s="36" t="n"/>
      <c r="BI75" s="36" t="n"/>
      <c r="BJ75" s="36" t="n"/>
      <c r="BK75" s="36" t="n"/>
      <c r="BL75" s="36" t="n"/>
      <c r="BM75" s="36" t="n"/>
      <c r="BN75" s="36" t="n"/>
      <c r="BO75" s="36" t="n"/>
      <c r="BP75" s="36" t="n"/>
      <c r="BQ75" s="36" t="n"/>
      <c r="BR75" s="36" t="n"/>
      <c r="BS75" s="36" t="n"/>
      <c r="BT75" s="36" t="n"/>
      <c r="BU75" s="36" t="n"/>
      <c r="BV75" s="36" t="n"/>
      <c r="BW75" s="36" t="n"/>
      <c r="BX75" s="36" t="n"/>
      <c r="BY75" s="36" t="n"/>
      <c r="BZ75" s="36" t="n"/>
      <c r="CA75" s="36" t="n"/>
      <c r="CB75" s="36" t="n"/>
      <c r="CC75" s="36" t="n"/>
      <c r="CD75" s="36" t="n"/>
      <c r="CE75" s="36" t="n"/>
      <c r="CF75" s="36" t="n"/>
      <c r="CG75" s="36" t="n"/>
      <c r="CH75" s="36" t="n"/>
      <c r="CI75" s="36" t="n"/>
      <c r="CJ75" s="36" t="n"/>
      <c r="CK75" s="36" t="n"/>
      <c r="CL75" s="36" t="n"/>
      <c r="CM75" s="36" t="n"/>
      <c r="CN75" s="2" t="n"/>
      <c r="CO75" s="2" t="n"/>
      <c r="CP75" s="2" t="n"/>
      <c r="CQ75" s="2" t="n"/>
      <c r="CR75" s="2" t="n"/>
      <c r="CS75" s="2" t="n"/>
      <c r="CT75" s="2" t="n"/>
      <c r="CU75" s="2" t="n"/>
      <c r="CV75" s="2" t="n"/>
      <c r="CW75" s="2" t="n"/>
      <c r="CX75" s="2" t="n"/>
      <c r="CY75" s="2" t="n"/>
      <c r="CZ75" s="2" t="n"/>
      <c r="DA75" s="2" t="n"/>
      <c r="DB75" s="2" t="n"/>
      <c r="DC75" s="2" t="n"/>
      <c r="DD75" s="2" t="n"/>
      <c r="DE75" s="2" t="n"/>
      <c r="DF75" s="2" t="n"/>
      <c r="DG75" s="2" t="n"/>
      <c r="DH75" s="2" t="n"/>
    </row>
    <row r="76" ht="72" customFormat="1" customHeight="1" s="76">
      <c r="A76" s="33" t="n"/>
      <c r="B76" s="34" t="n"/>
      <c r="C76" s="45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  <c r="AB76" s="36" t="n"/>
      <c r="AC76" s="36" t="n"/>
      <c r="AD76" s="36" t="n"/>
      <c r="AE76" s="36" t="n"/>
      <c r="AF76" s="36" t="n"/>
      <c r="AG76" s="36" t="n"/>
      <c r="AH76" s="36" t="n"/>
      <c r="AI76" s="36" t="n"/>
      <c r="AJ76" s="36" t="n"/>
      <c r="AK76" s="36" t="n"/>
      <c r="AL76" s="36" t="n"/>
      <c r="AM76" s="36" t="n"/>
      <c r="AN76" s="36" t="n"/>
      <c r="AO76" s="36" t="n"/>
      <c r="AP76" s="36" t="n"/>
      <c r="AQ76" s="36" t="n"/>
      <c r="AR76" s="36" t="n"/>
      <c r="AS76" s="36" t="n"/>
      <c r="AT76" s="36" t="n"/>
      <c r="AU76" s="36" t="n"/>
      <c r="AV76" s="36" t="n"/>
      <c r="AW76" s="36" t="n"/>
      <c r="AX76" s="36" t="n"/>
      <c r="AY76" s="36" t="n"/>
      <c r="AZ76" s="36" t="n"/>
      <c r="BA76" s="36" t="n"/>
      <c r="BB76" s="36" t="n"/>
      <c r="BC76" s="36" t="n"/>
      <c r="BD76" s="36" t="n"/>
      <c r="BE76" s="36" t="n"/>
      <c r="BF76" s="36" t="n"/>
      <c r="BG76" s="36" t="n"/>
      <c r="BH76" s="36" t="n"/>
      <c r="BI76" s="36" t="n"/>
      <c r="BJ76" s="36" t="n"/>
      <c r="BK76" s="36" t="n"/>
      <c r="BL76" s="36" t="n"/>
      <c r="BM76" s="36" t="n"/>
      <c r="BN76" s="36" t="n"/>
      <c r="BO76" s="36" t="n"/>
      <c r="BP76" s="36" t="n"/>
      <c r="BQ76" s="36" t="n"/>
      <c r="BR76" s="36" t="n"/>
      <c r="BS76" s="36" t="n"/>
      <c r="BT76" s="36" t="n"/>
      <c r="BU76" s="36" t="n"/>
      <c r="BV76" s="36" t="n"/>
      <c r="BW76" s="36" t="n"/>
      <c r="BX76" s="36" t="n"/>
      <c r="BY76" s="36" t="n"/>
      <c r="BZ76" s="36" t="n"/>
      <c r="CA76" s="36" t="n"/>
      <c r="CB76" s="36" t="n"/>
      <c r="CC76" s="36" t="n"/>
      <c r="CD76" s="36" t="n"/>
      <c r="CE76" s="36" t="n"/>
      <c r="CF76" s="36" t="n"/>
      <c r="CG76" s="36" t="n"/>
      <c r="CH76" s="36" t="n"/>
      <c r="CI76" s="36" t="n"/>
      <c r="CJ76" s="36" t="n"/>
      <c r="CK76" s="36" t="n"/>
      <c r="CL76" s="36" t="n"/>
      <c r="CM76" s="36" t="n"/>
      <c r="CN76" s="2" t="n"/>
      <c r="CO76" s="2" t="n"/>
      <c r="CP76" s="2" t="n"/>
      <c r="CQ76" s="2" t="n"/>
      <c r="CR76" s="2" t="n"/>
      <c r="CS76" s="2" t="n"/>
      <c r="CT76" s="2" t="n"/>
      <c r="CU76" s="2" t="n"/>
      <c r="CV76" s="2" t="n"/>
      <c r="CW76" s="2" t="n"/>
      <c r="CX76" s="2" t="n"/>
      <c r="CY76" s="2" t="n"/>
      <c r="CZ76" s="2" t="n"/>
      <c r="DA76" s="2" t="n"/>
      <c r="DB76" s="2" t="n"/>
      <c r="DC76" s="2" t="n"/>
      <c r="DD76" s="2" t="n"/>
      <c r="DE76" s="2" t="n"/>
      <c r="DF76" s="2" t="n"/>
      <c r="DG76" s="2" t="n"/>
      <c r="DH76" s="2" t="n"/>
    </row>
    <row r="77" ht="72" customFormat="1" customHeight="1" s="76">
      <c r="A77" s="33" t="n"/>
      <c r="B77" s="34" t="n"/>
      <c r="C77" s="4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  <c r="AB77" s="36" t="n"/>
      <c r="AC77" s="36" t="n"/>
      <c r="AD77" s="36" t="n"/>
      <c r="AE77" s="36" t="n"/>
      <c r="AF77" s="36" t="n"/>
      <c r="AG77" s="36" t="n"/>
      <c r="AH77" s="36" t="n"/>
      <c r="AI77" s="36" t="n"/>
      <c r="AJ77" s="36" t="n"/>
      <c r="AK77" s="36" t="n"/>
      <c r="AL77" s="36" t="n"/>
      <c r="AM77" s="36" t="n"/>
      <c r="AN77" s="36" t="n"/>
      <c r="AO77" s="36" t="n"/>
      <c r="AP77" s="36" t="n"/>
      <c r="AQ77" s="36" t="n"/>
      <c r="AR77" s="36" t="n"/>
      <c r="AS77" s="36" t="n"/>
      <c r="AT77" s="36" t="n"/>
      <c r="AU77" s="36" t="n"/>
      <c r="AV77" s="36" t="n"/>
      <c r="AW77" s="36" t="n"/>
      <c r="AX77" s="36" t="n"/>
      <c r="AY77" s="36" t="n"/>
      <c r="AZ77" s="36" t="n"/>
      <c r="BA77" s="36" t="n"/>
      <c r="BB77" s="36" t="n"/>
      <c r="BC77" s="36" t="n"/>
      <c r="BD77" s="36" t="n"/>
      <c r="BE77" s="36" t="n"/>
      <c r="BF77" s="36" t="n"/>
      <c r="BG77" s="36" t="n"/>
      <c r="BH77" s="36" t="n"/>
      <c r="BI77" s="36" t="n"/>
      <c r="BJ77" s="36" t="n"/>
      <c r="BK77" s="36" t="n"/>
      <c r="BL77" s="36" t="n"/>
      <c r="BM77" s="36" t="n"/>
      <c r="BN77" s="36" t="n"/>
      <c r="BO77" s="36" t="n"/>
      <c r="BP77" s="36" t="n"/>
      <c r="BQ77" s="36" t="n"/>
      <c r="BR77" s="36" t="n"/>
      <c r="BS77" s="36" t="n"/>
      <c r="BT77" s="36" t="n"/>
      <c r="BU77" s="36" t="n"/>
      <c r="BV77" s="36" t="n"/>
      <c r="BW77" s="36" t="n"/>
      <c r="BX77" s="36" t="n"/>
      <c r="BY77" s="36" t="n"/>
      <c r="BZ77" s="36" t="n"/>
      <c r="CA77" s="36" t="n"/>
      <c r="CB77" s="36" t="n"/>
      <c r="CC77" s="36" t="n"/>
      <c r="CD77" s="36" t="n"/>
      <c r="CE77" s="36" t="n"/>
      <c r="CF77" s="36" t="n"/>
      <c r="CG77" s="36" t="n"/>
      <c r="CH77" s="36" t="n"/>
      <c r="CI77" s="36" t="n"/>
      <c r="CJ77" s="36" t="n"/>
      <c r="CK77" s="36" t="n"/>
      <c r="CL77" s="36" t="n"/>
      <c r="CM77" s="36" t="n"/>
      <c r="CN77" s="2" t="n"/>
      <c r="CO77" s="2" t="n"/>
      <c r="CP77" s="2" t="n"/>
      <c r="CQ77" s="2" t="n"/>
      <c r="CR77" s="2" t="n"/>
      <c r="CS77" s="2" t="n"/>
      <c r="CT77" s="2" t="n"/>
      <c r="CU77" s="2" t="n"/>
      <c r="CV77" s="2" t="n"/>
      <c r="CW77" s="2" t="n"/>
      <c r="CX77" s="2" t="n"/>
      <c r="CY77" s="2" t="n"/>
      <c r="CZ77" s="2" t="n"/>
      <c r="DA77" s="2" t="n"/>
      <c r="DB77" s="2" t="n"/>
      <c r="DC77" s="2" t="n"/>
      <c r="DD77" s="2" t="n"/>
      <c r="DE77" s="2" t="n"/>
      <c r="DF77" s="2" t="n"/>
      <c r="DG77" s="2" t="n"/>
      <c r="DH77" s="2" t="n"/>
    </row>
    <row r="78" ht="72" customFormat="1" customHeight="1" s="76">
      <c r="A78" s="33" t="n"/>
      <c r="B78" s="34" t="n"/>
      <c r="C78" s="4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  <c r="AB78" s="36" t="n"/>
      <c r="AC78" s="36" t="n"/>
      <c r="AD78" s="36" t="n"/>
      <c r="AE78" s="36" t="n"/>
      <c r="AF78" s="36" t="n"/>
      <c r="AG78" s="36" t="n"/>
      <c r="AH78" s="36" t="n"/>
      <c r="AI78" s="36" t="n"/>
      <c r="AJ78" s="36" t="n"/>
      <c r="AK78" s="36" t="n"/>
      <c r="AL78" s="36" t="n"/>
      <c r="AM78" s="36" t="n"/>
      <c r="AN78" s="36" t="n"/>
      <c r="AO78" s="36" t="n"/>
      <c r="AP78" s="36" t="n"/>
      <c r="AQ78" s="36" t="n"/>
      <c r="AR78" s="36" t="n"/>
      <c r="AS78" s="36" t="n"/>
      <c r="AT78" s="36" t="n"/>
      <c r="AU78" s="36" t="n"/>
      <c r="AV78" s="36" t="n"/>
      <c r="AW78" s="36" t="n"/>
      <c r="AX78" s="36" t="n"/>
      <c r="AY78" s="36" t="n"/>
      <c r="AZ78" s="36" t="n"/>
      <c r="BA78" s="36" t="n"/>
      <c r="BB78" s="36" t="n"/>
      <c r="BC78" s="36" t="n"/>
      <c r="BD78" s="36" t="n"/>
      <c r="BE78" s="36" t="n"/>
      <c r="BF78" s="36" t="n"/>
      <c r="BG78" s="36" t="n"/>
      <c r="BH78" s="36" t="n"/>
      <c r="BI78" s="36" t="n"/>
      <c r="BJ78" s="36" t="n"/>
      <c r="BK78" s="36" t="n"/>
      <c r="BL78" s="36" t="n"/>
      <c r="BM78" s="36" t="n"/>
      <c r="BN78" s="36" t="n"/>
      <c r="BO78" s="36" t="n"/>
      <c r="BP78" s="36" t="n"/>
      <c r="BQ78" s="36" t="n"/>
      <c r="BR78" s="36" t="n"/>
      <c r="BS78" s="36" t="n"/>
      <c r="BT78" s="36" t="n"/>
      <c r="BU78" s="36" t="n"/>
      <c r="BV78" s="36" t="n"/>
      <c r="BW78" s="36" t="n"/>
      <c r="BX78" s="36" t="n"/>
      <c r="BY78" s="36" t="n"/>
      <c r="BZ78" s="36" t="n"/>
      <c r="CA78" s="36" t="n"/>
      <c r="CB78" s="36" t="n"/>
      <c r="CC78" s="36" t="n"/>
      <c r="CD78" s="36" t="n"/>
      <c r="CE78" s="36" t="n"/>
      <c r="CF78" s="36" t="n"/>
      <c r="CG78" s="36" t="n"/>
      <c r="CH78" s="36" t="n"/>
      <c r="CI78" s="36" t="n"/>
      <c r="CJ78" s="36" t="n"/>
      <c r="CK78" s="36" t="n"/>
      <c r="CL78" s="36" t="n"/>
      <c r="CM78" s="36" t="n"/>
      <c r="CN78" s="2" t="n"/>
      <c r="CO78" s="2" t="n"/>
      <c r="CP78" s="2" t="n"/>
      <c r="CQ78" s="2" t="n"/>
      <c r="CR78" s="2" t="n"/>
      <c r="CS78" s="2" t="n"/>
      <c r="CT78" s="2" t="n"/>
      <c r="CU78" s="2" t="n"/>
      <c r="CV78" s="2" t="n"/>
      <c r="CW78" s="2" t="n"/>
      <c r="CX78" s="2" t="n"/>
      <c r="CY78" s="2" t="n"/>
      <c r="CZ78" s="2" t="n"/>
      <c r="DA78" s="2" t="n"/>
      <c r="DB78" s="2" t="n"/>
      <c r="DC78" s="2" t="n"/>
      <c r="DD78" s="2" t="n"/>
      <c r="DE78" s="2" t="n"/>
      <c r="DF78" s="2" t="n"/>
      <c r="DG78" s="2" t="n"/>
      <c r="DH78" s="2" t="n"/>
    </row>
    <row r="79" ht="72" customFormat="1" customHeight="1" s="76">
      <c r="A79" s="33" t="n"/>
      <c r="B79" s="34" t="n"/>
      <c r="C79" s="45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6" t="n"/>
      <c r="T79" s="36" t="n"/>
      <c r="U79" s="36" t="n"/>
      <c r="V79" s="36" t="n"/>
      <c r="W79" s="36" t="n"/>
      <c r="X79" s="36" t="n"/>
      <c r="Y79" s="36" t="n"/>
      <c r="Z79" s="36" t="n"/>
      <c r="AA79" s="36" t="n"/>
      <c r="AB79" s="36" t="n"/>
      <c r="AC79" s="36" t="n"/>
      <c r="AD79" s="36" t="n"/>
      <c r="AE79" s="36" t="n"/>
      <c r="AF79" s="36" t="n"/>
      <c r="AG79" s="36" t="n"/>
      <c r="AH79" s="36" t="n"/>
      <c r="AI79" s="36" t="n"/>
      <c r="AJ79" s="36" t="n"/>
      <c r="AK79" s="36" t="n"/>
      <c r="AL79" s="36" t="n"/>
      <c r="AM79" s="36" t="n"/>
      <c r="AN79" s="36" t="n"/>
      <c r="AO79" s="36" t="n"/>
      <c r="AP79" s="36" t="n"/>
      <c r="AQ79" s="36" t="n"/>
      <c r="AR79" s="36" t="n"/>
      <c r="AS79" s="36" t="n"/>
      <c r="AT79" s="36" t="n"/>
      <c r="AU79" s="36" t="n"/>
      <c r="AV79" s="36" t="n"/>
      <c r="AW79" s="36" t="n"/>
      <c r="AX79" s="36" t="n"/>
      <c r="AY79" s="36" t="n"/>
      <c r="AZ79" s="36" t="n"/>
      <c r="BA79" s="36" t="n"/>
      <c r="BB79" s="36" t="n"/>
      <c r="BC79" s="36" t="n"/>
      <c r="BD79" s="36" t="n"/>
      <c r="BE79" s="36" t="n"/>
      <c r="BF79" s="36" t="n"/>
      <c r="BG79" s="36" t="n"/>
      <c r="BH79" s="36" t="n"/>
      <c r="BI79" s="36" t="n"/>
      <c r="BJ79" s="36" t="n"/>
      <c r="BK79" s="36" t="n"/>
      <c r="BL79" s="36" t="n"/>
      <c r="BM79" s="36" t="n"/>
      <c r="BN79" s="36" t="n"/>
      <c r="BO79" s="36" t="n"/>
      <c r="BP79" s="36" t="n"/>
      <c r="BQ79" s="36" t="n"/>
      <c r="BR79" s="36" t="n"/>
      <c r="BS79" s="36" t="n"/>
      <c r="BT79" s="36" t="n"/>
      <c r="BU79" s="36" t="n"/>
      <c r="BV79" s="36" t="n"/>
      <c r="BW79" s="36" t="n"/>
      <c r="BX79" s="36" t="n"/>
      <c r="BY79" s="36" t="n"/>
      <c r="BZ79" s="36" t="n"/>
      <c r="CA79" s="36" t="n"/>
      <c r="CB79" s="36" t="n"/>
      <c r="CC79" s="36" t="n"/>
      <c r="CD79" s="36" t="n"/>
      <c r="CE79" s="36" t="n"/>
      <c r="CF79" s="36" t="n"/>
      <c r="CG79" s="36" t="n"/>
      <c r="CH79" s="36" t="n"/>
      <c r="CI79" s="36" t="n"/>
      <c r="CJ79" s="36" t="n"/>
      <c r="CK79" s="36" t="n"/>
      <c r="CL79" s="36" t="n"/>
      <c r="CM79" s="36" t="n"/>
      <c r="CN79" s="2" t="n"/>
      <c r="CO79" s="2" t="n"/>
      <c r="CP79" s="2" t="n"/>
      <c r="CQ79" s="2" t="n"/>
      <c r="CR79" s="2" t="n"/>
      <c r="CS79" s="2" t="n"/>
      <c r="CT79" s="2" t="n"/>
      <c r="CU79" s="2" t="n"/>
      <c r="CV79" s="2" t="n"/>
      <c r="CW79" s="2" t="n"/>
      <c r="CX79" s="2" t="n"/>
      <c r="CY79" s="2" t="n"/>
      <c r="CZ79" s="2" t="n"/>
      <c r="DA79" s="2" t="n"/>
      <c r="DB79" s="2" t="n"/>
      <c r="DC79" s="2" t="n"/>
      <c r="DD79" s="2" t="n"/>
      <c r="DE79" s="2" t="n"/>
      <c r="DF79" s="2" t="n"/>
      <c r="DG79" s="2" t="n"/>
      <c r="DH79" s="2" t="n"/>
    </row>
    <row r="80" ht="72" customFormat="1" customHeight="1" s="76">
      <c r="A80" s="33" t="n"/>
      <c r="B80" s="34" t="n"/>
      <c r="C80" s="45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  <c r="AB80" s="36" t="n"/>
      <c r="AC80" s="36" t="n"/>
      <c r="AD80" s="36" t="n"/>
      <c r="AE80" s="36" t="n"/>
      <c r="AF80" s="36" t="n"/>
      <c r="AG80" s="36" t="n"/>
      <c r="AH80" s="36" t="n"/>
      <c r="AI80" s="36" t="n"/>
      <c r="AJ80" s="36" t="n"/>
      <c r="AK80" s="36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6" t="n"/>
      <c r="BB80" s="36" t="n"/>
      <c r="BC80" s="36" t="n"/>
      <c r="BD80" s="36" t="n"/>
      <c r="BE80" s="36" t="n"/>
      <c r="BF80" s="36" t="n"/>
      <c r="BG80" s="36" t="n"/>
      <c r="BH80" s="36" t="n"/>
      <c r="BI80" s="36" t="n"/>
      <c r="BJ80" s="36" t="n"/>
      <c r="BK80" s="36" t="n"/>
      <c r="BL80" s="36" t="n"/>
      <c r="BM80" s="36" t="n"/>
      <c r="BN80" s="36" t="n"/>
      <c r="BO80" s="36" t="n"/>
      <c r="BP80" s="36" t="n"/>
      <c r="BQ80" s="36" t="n"/>
      <c r="BR80" s="36" t="n"/>
      <c r="BS80" s="36" t="n"/>
      <c r="BT80" s="36" t="n"/>
      <c r="BU80" s="36" t="n"/>
      <c r="BV80" s="36" t="n"/>
      <c r="BW80" s="36" t="n"/>
      <c r="BX80" s="36" t="n"/>
      <c r="BY80" s="36" t="n"/>
      <c r="BZ80" s="36" t="n"/>
      <c r="CA80" s="36" t="n"/>
      <c r="CB80" s="36" t="n"/>
      <c r="CC80" s="36" t="n"/>
      <c r="CD80" s="36" t="n"/>
      <c r="CE80" s="36" t="n"/>
      <c r="CF80" s="36" t="n"/>
      <c r="CG80" s="36" t="n"/>
      <c r="CH80" s="36" t="n"/>
      <c r="CI80" s="36" t="n"/>
      <c r="CJ80" s="36" t="n"/>
      <c r="CK80" s="36" t="n"/>
      <c r="CL80" s="36" t="n"/>
      <c r="CM80" s="36" t="n"/>
      <c r="CN80" s="2" t="n"/>
      <c r="CO80" s="2" t="n"/>
      <c r="CP80" s="2" t="n"/>
      <c r="CQ80" s="2" t="n"/>
      <c r="CR80" s="2" t="n"/>
      <c r="CS80" s="2" t="n"/>
      <c r="CT80" s="2" t="n"/>
      <c r="CU80" s="2" t="n"/>
      <c r="CV80" s="2" t="n"/>
      <c r="CW80" s="2" t="n"/>
      <c r="CX80" s="2" t="n"/>
      <c r="CY80" s="2" t="n"/>
      <c r="CZ80" s="2" t="n"/>
      <c r="DA80" s="2" t="n"/>
      <c r="DB80" s="2" t="n"/>
      <c r="DC80" s="2" t="n"/>
      <c r="DD80" s="2" t="n"/>
      <c r="DE80" s="2" t="n"/>
      <c r="DF80" s="2" t="n"/>
      <c r="DG80" s="2" t="n"/>
      <c r="DH80" s="2" t="n"/>
    </row>
    <row r="81" ht="72" customFormat="1" customHeight="1" s="76">
      <c r="A81" s="33" t="n"/>
      <c r="B81" s="34" t="n"/>
      <c r="C81" s="4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  <c r="AB81" s="36" t="n"/>
      <c r="AC81" s="36" t="n"/>
      <c r="AD81" s="36" t="n"/>
      <c r="AE81" s="36" t="n"/>
      <c r="AF81" s="36" t="n"/>
      <c r="AG81" s="36" t="n"/>
      <c r="AH81" s="36" t="n"/>
      <c r="AI81" s="36" t="n"/>
      <c r="AJ81" s="36" t="n"/>
      <c r="AK81" s="36" t="n"/>
      <c r="AL81" s="36" t="n"/>
      <c r="AM81" s="36" t="n"/>
      <c r="AN81" s="36" t="n"/>
      <c r="AO81" s="36" t="n"/>
      <c r="AP81" s="36" t="n"/>
      <c r="AQ81" s="36" t="n"/>
      <c r="AR81" s="36" t="n"/>
      <c r="AS81" s="36" t="n"/>
      <c r="AT81" s="36" t="n"/>
      <c r="AU81" s="36" t="n"/>
      <c r="AV81" s="36" t="n"/>
      <c r="AW81" s="36" t="n"/>
      <c r="AX81" s="36" t="n"/>
      <c r="AY81" s="36" t="n"/>
      <c r="AZ81" s="36" t="n"/>
      <c r="BA81" s="36" t="n"/>
      <c r="BB81" s="36" t="n"/>
      <c r="BC81" s="36" t="n"/>
      <c r="BD81" s="36" t="n"/>
      <c r="BE81" s="36" t="n"/>
      <c r="BF81" s="36" t="n"/>
      <c r="BG81" s="36" t="n"/>
      <c r="BH81" s="36" t="n"/>
      <c r="BI81" s="36" t="n"/>
      <c r="BJ81" s="36" t="n"/>
      <c r="BK81" s="36" t="n"/>
      <c r="BL81" s="36" t="n"/>
      <c r="BM81" s="36" t="n"/>
      <c r="BN81" s="36" t="n"/>
      <c r="BO81" s="36" t="n"/>
      <c r="BP81" s="36" t="n"/>
      <c r="BQ81" s="36" t="n"/>
      <c r="BR81" s="36" t="n"/>
      <c r="BS81" s="36" t="n"/>
      <c r="BT81" s="36" t="n"/>
      <c r="BU81" s="36" t="n"/>
      <c r="BV81" s="36" t="n"/>
      <c r="BW81" s="36" t="n"/>
      <c r="BX81" s="36" t="n"/>
      <c r="BY81" s="36" t="n"/>
      <c r="BZ81" s="36" t="n"/>
      <c r="CA81" s="36" t="n"/>
      <c r="CB81" s="36" t="n"/>
      <c r="CC81" s="36" t="n"/>
      <c r="CD81" s="36" t="n"/>
      <c r="CE81" s="36" t="n"/>
      <c r="CF81" s="36" t="n"/>
      <c r="CG81" s="36" t="n"/>
      <c r="CH81" s="36" t="n"/>
      <c r="CI81" s="36" t="n"/>
      <c r="CJ81" s="36" t="n"/>
      <c r="CK81" s="36" t="n"/>
      <c r="CL81" s="36" t="n"/>
      <c r="CM81" s="36" t="n"/>
      <c r="CN81" s="2" t="n"/>
      <c r="CO81" s="2" t="n"/>
      <c r="CP81" s="2" t="n"/>
      <c r="CQ81" s="2" t="n"/>
      <c r="CR81" s="2" t="n"/>
      <c r="CS81" s="2" t="n"/>
      <c r="CT81" s="2" t="n"/>
      <c r="CU81" s="2" t="n"/>
      <c r="CV81" s="2" t="n"/>
      <c r="CW81" s="2" t="n"/>
      <c r="CX81" s="2" t="n"/>
      <c r="CY81" s="2" t="n"/>
      <c r="CZ81" s="2" t="n"/>
      <c r="DA81" s="2" t="n"/>
      <c r="DB81" s="2" t="n"/>
      <c r="DC81" s="2" t="n"/>
      <c r="DD81" s="2" t="n"/>
      <c r="DE81" s="2" t="n"/>
      <c r="DF81" s="2" t="n"/>
      <c r="DG81" s="2" t="n"/>
      <c r="DH81" s="2" t="n"/>
    </row>
    <row r="82" ht="21.95" customFormat="1" customHeight="1" s="76">
      <c r="A82" s="33" t="n"/>
      <c r="B82" s="34" t="n"/>
      <c r="C82" s="45" t="n"/>
      <c r="D82" s="36" t="n"/>
      <c r="E82" s="36" t="n"/>
      <c r="F82" s="36" t="n"/>
      <c r="G82" s="36" t="n"/>
      <c r="H82" s="36" t="n"/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  <c r="AB82" s="36" t="n"/>
      <c r="AC82" s="36" t="n"/>
      <c r="AD82" s="36" t="n"/>
      <c r="AE82" s="36" t="n"/>
      <c r="AF82" s="36" t="n"/>
      <c r="AG82" s="36" t="n"/>
      <c r="AH82" s="36" t="n"/>
      <c r="AI82" s="36" t="n"/>
      <c r="AJ82" s="36" t="n"/>
      <c r="AK82" s="36" t="n"/>
      <c r="AL82" s="36" t="n"/>
      <c r="AM82" s="36" t="n"/>
      <c r="AN82" s="36" t="n"/>
      <c r="AO82" s="36" t="n"/>
      <c r="AP82" s="36" t="n"/>
      <c r="AQ82" s="36" t="n"/>
      <c r="AR82" s="36" t="n"/>
      <c r="AS82" s="36" t="n"/>
      <c r="AT82" s="36" t="n"/>
      <c r="AU82" s="36" t="n"/>
      <c r="AV82" s="36" t="n"/>
      <c r="AW82" s="36" t="n"/>
      <c r="AX82" s="36" t="n"/>
      <c r="AY82" s="36" t="n"/>
      <c r="AZ82" s="36" t="n"/>
      <c r="BA82" s="36" t="n"/>
      <c r="BB82" s="36" t="n"/>
      <c r="BC82" s="36" t="n"/>
      <c r="BD82" s="36" t="n"/>
      <c r="BE82" s="36" t="n"/>
      <c r="BF82" s="36" t="n"/>
      <c r="BG82" s="36" t="n"/>
      <c r="BH82" s="36" t="n"/>
      <c r="BI82" s="36" t="n"/>
      <c r="BJ82" s="36" t="n"/>
      <c r="BK82" s="36" t="n"/>
      <c r="BL82" s="36" t="n"/>
      <c r="BM82" s="36" t="n"/>
      <c r="BN82" s="36" t="n"/>
      <c r="BO82" s="36" t="n"/>
      <c r="BP82" s="36" t="n"/>
      <c r="BQ82" s="36" t="n"/>
      <c r="BR82" s="36" t="n"/>
      <c r="BS82" s="36" t="n"/>
      <c r="BT82" s="36" t="n"/>
      <c r="BU82" s="36" t="n"/>
      <c r="BV82" s="36" t="n"/>
      <c r="BW82" s="36" t="n"/>
      <c r="BX82" s="36" t="n"/>
      <c r="BY82" s="36" t="n"/>
      <c r="BZ82" s="36" t="n"/>
      <c r="CA82" s="36" t="n"/>
      <c r="CB82" s="36" t="n"/>
      <c r="CC82" s="36" t="n"/>
      <c r="CD82" s="36" t="n"/>
      <c r="CE82" s="36" t="n"/>
      <c r="CF82" s="36" t="n"/>
      <c r="CG82" s="36" t="n"/>
      <c r="CH82" s="36" t="n"/>
      <c r="CI82" s="36" t="n"/>
      <c r="CJ82" s="36" t="n"/>
      <c r="CK82" s="36" t="n"/>
      <c r="CL82" s="36" t="n"/>
      <c r="CM82" s="36" t="n"/>
      <c r="CN82" s="2" t="n"/>
      <c r="CO82" s="2" t="n"/>
      <c r="CP82" s="2" t="n"/>
      <c r="CQ82" s="2" t="n"/>
      <c r="CR82" s="2" t="n"/>
      <c r="CS82" s="2" t="n"/>
      <c r="CT82" s="2" t="n"/>
      <c r="CU82" s="2" t="n"/>
      <c r="CV82" s="2" t="n"/>
      <c r="CW82" s="2" t="n"/>
      <c r="CX82" s="2" t="n"/>
      <c r="CY82" s="2" t="n"/>
      <c r="CZ82" s="2" t="n"/>
      <c r="DA82" s="2" t="n"/>
      <c r="DB82" s="2" t="n"/>
      <c r="DC82" s="2" t="n"/>
      <c r="DD82" s="2" t="n"/>
      <c r="DE82" s="2" t="n"/>
      <c r="DF82" s="2" t="n"/>
      <c r="DG82" s="2" t="n"/>
      <c r="DH82" s="2" t="n"/>
    </row>
    <row r="83" ht="72" customFormat="1" customHeight="1" s="76">
      <c r="A83" s="33" t="n"/>
      <c r="B83" s="34" t="n"/>
      <c r="C83" s="45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  <c r="AB83" s="36" t="n"/>
      <c r="AC83" s="36" t="n"/>
      <c r="AD83" s="36" t="n"/>
      <c r="AE83" s="36" t="n"/>
      <c r="AF83" s="36" t="n"/>
      <c r="AG83" s="36" t="n"/>
      <c r="AH83" s="36" t="n"/>
      <c r="AI83" s="36" t="n"/>
      <c r="AJ83" s="36" t="n"/>
      <c r="AK83" s="36" t="n"/>
      <c r="AL83" s="36" t="n"/>
      <c r="AM83" s="36" t="n"/>
      <c r="AN83" s="36" t="n"/>
      <c r="AO83" s="36" t="n"/>
      <c r="AP83" s="36" t="n"/>
      <c r="AQ83" s="36" t="n"/>
      <c r="AR83" s="36" t="n"/>
      <c r="AS83" s="36" t="n"/>
      <c r="AT83" s="36" t="n"/>
      <c r="AU83" s="36" t="n"/>
      <c r="AV83" s="36" t="n"/>
      <c r="AW83" s="36" t="n"/>
      <c r="AX83" s="36" t="n"/>
      <c r="AY83" s="36" t="n"/>
      <c r="AZ83" s="36" t="n"/>
      <c r="BA83" s="36" t="n"/>
      <c r="BB83" s="36" t="n"/>
      <c r="BC83" s="36" t="n"/>
      <c r="BD83" s="36" t="n"/>
      <c r="BE83" s="36" t="n"/>
      <c r="BF83" s="36" t="n"/>
      <c r="BG83" s="36" t="n"/>
      <c r="BH83" s="36" t="n"/>
      <c r="BI83" s="36" t="n"/>
      <c r="BJ83" s="36" t="n"/>
      <c r="BK83" s="36" t="n"/>
      <c r="BL83" s="36" t="n"/>
      <c r="BM83" s="36" t="n"/>
      <c r="BN83" s="36" t="n"/>
      <c r="BO83" s="36" t="n"/>
      <c r="BP83" s="36" t="n"/>
      <c r="BQ83" s="36" t="n"/>
      <c r="BR83" s="36" t="n"/>
      <c r="BS83" s="36" t="n"/>
      <c r="BT83" s="36" t="n"/>
      <c r="BU83" s="36" t="n"/>
      <c r="BV83" s="36" t="n"/>
      <c r="BW83" s="36" t="n"/>
      <c r="BX83" s="36" t="n"/>
      <c r="BY83" s="36" t="n"/>
      <c r="BZ83" s="36" t="n"/>
      <c r="CA83" s="36" t="n"/>
      <c r="CB83" s="36" t="n"/>
      <c r="CC83" s="36" t="n"/>
      <c r="CD83" s="36" t="n"/>
      <c r="CE83" s="36" t="n"/>
      <c r="CF83" s="36" t="n"/>
      <c r="CG83" s="36" t="n"/>
      <c r="CH83" s="36" t="n"/>
      <c r="CI83" s="36" t="n"/>
      <c r="CJ83" s="36" t="n"/>
      <c r="CK83" s="36" t="n"/>
      <c r="CL83" s="36" t="n"/>
      <c r="CM83" s="36" t="n"/>
      <c r="CN83" s="2" t="n"/>
      <c r="CO83" s="2" t="n"/>
      <c r="CP83" s="2" t="n"/>
      <c r="CQ83" s="2" t="n"/>
      <c r="CR83" s="2" t="n"/>
      <c r="CS83" s="2" t="n"/>
      <c r="CT83" s="2" t="n"/>
      <c r="CU83" s="2" t="n"/>
      <c r="CV83" s="2" t="n"/>
      <c r="CW83" s="2" t="n"/>
      <c r="CX83" s="2" t="n"/>
      <c r="CY83" s="2" t="n"/>
      <c r="CZ83" s="2" t="n"/>
      <c r="DA83" s="2" t="n"/>
      <c r="DB83" s="2" t="n"/>
      <c r="DC83" s="2" t="n"/>
      <c r="DD83" s="2" t="n"/>
      <c r="DE83" s="2" t="n"/>
      <c r="DF83" s="2" t="n"/>
      <c r="DG83" s="2" t="n"/>
      <c r="DH83" s="2" t="n"/>
    </row>
    <row r="84" ht="72" customFormat="1" customHeight="1" s="76">
      <c r="A84" s="33" t="n"/>
      <c r="B84" s="34" t="n"/>
      <c r="C84" s="4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  <c r="AB84" s="36" t="n"/>
      <c r="AC84" s="36" t="n"/>
      <c r="AD84" s="36" t="n"/>
      <c r="AE84" s="36" t="n"/>
      <c r="AF84" s="36" t="n"/>
      <c r="AG84" s="36" t="n"/>
      <c r="AH84" s="36" t="n"/>
      <c r="AI84" s="36" t="n"/>
      <c r="AJ84" s="36" t="n"/>
      <c r="AK84" s="36" t="n"/>
      <c r="AL84" s="36" t="n"/>
      <c r="AM84" s="36" t="n"/>
      <c r="AN84" s="36" t="n"/>
      <c r="AO84" s="36" t="n"/>
      <c r="AP84" s="36" t="n"/>
      <c r="AQ84" s="36" t="n"/>
      <c r="AR84" s="36" t="n"/>
      <c r="AS84" s="36" t="n"/>
      <c r="AT84" s="36" t="n"/>
      <c r="AU84" s="36" t="n"/>
      <c r="AV84" s="36" t="n"/>
      <c r="AW84" s="36" t="n"/>
      <c r="AX84" s="36" t="n"/>
      <c r="AY84" s="36" t="n"/>
      <c r="AZ84" s="36" t="n"/>
      <c r="BA84" s="36" t="n"/>
      <c r="BB84" s="36" t="n"/>
      <c r="BC84" s="36" t="n"/>
      <c r="BD84" s="36" t="n"/>
      <c r="BE84" s="36" t="n"/>
      <c r="BF84" s="36" t="n"/>
      <c r="BG84" s="36" t="n"/>
      <c r="BH84" s="36" t="n"/>
      <c r="BI84" s="36" t="n"/>
      <c r="BJ84" s="36" t="n"/>
      <c r="BK84" s="36" t="n"/>
      <c r="BL84" s="36" t="n"/>
      <c r="BM84" s="36" t="n"/>
      <c r="BN84" s="36" t="n"/>
      <c r="BO84" s="36" t="n"/>
      <c r="BP84" s="36" t="n"/>
      <c r="BQ84" s="36" t="n"/>
      <c r="BR84" s="36" t="n"/>
      <c r="BS84" s="36" t="n"/>
      <c r="BT84" s="36" t="n"/>
      <c r="BU84" s="36" t="n"/>
      <c r="BV84" s="36" t="n"/>
      <c r="BW84" s="36" t="n"/>
      <c r="BX84" s="36" t="n"/>
      <c r="BY84" s="36" t="n"/>
      <c r="BZ84" s="36" t="n"/>
      <c r="CA84" s="36" t="n"/>
      <c r="CB84" s="36" t="n"/>
      <c r="CC84" s="36" t="n"/>
      <c r="CD84" s="36" t="n"/>
      <c r="CE84" s="36" t="n"/>
      <c r="CF84" s="36" t="n"/>
      <c r="CG84" s="36" t="n"/>
      <c r="CH84" s="36" t="n"/>
      <c r="CI84" s="36" t="n"/>
      <c r="CJ84" s="36" t="n"/>
      <c r="CK84" s="36" t="n"/>
      <c r="CL84" s="36" t="n"/>
      <c r="CM84" s="36" t="n"/>
      <c r="CN84" s="2" t="n"/>
      <c r="CO84" s="2" t="n"/>
      <c r="CP84" s="2" t="n"/>
      <c r="CQ84" s="2" t="n"/>
      <c r="CR84" s="2" t="n"/>
      <c r="CS84" s="2" t="n"/>
      <c r="CT84" s="2" t="n"/>
      <c r="CU84" s="2" t="n"/>
      <c r="CV84" s="2" t="n"/>
      <c r="CW84" s="2" t="n"/>
      <c r="CX84" s="2" t="n"/>
      <c r="CY84" s="2" t="n"/>
      <c r="CZ84" s="2" t="n"/>
      <c r="DA84" s="2" t="n"/>
      <c r="DB84" s="2" t="n"/>
      <c r="DC84" s="2" t="n"/>
      <c r="DD84" s="2" t="n"/>
      <c r="DE84" s="2" t="n"/>
      <c r="DF84" s="2" t="n"/>
      <c r="DG84" s="2" t="n"/>
      <c r="DH84" s="2" t="n"/>
    </row>
    <row r="85" ht="72" customFormat="1" customHeight="1" s="76">
      <c r="A85" s="33" t="n"/>
      <c r="B85" s="34" t="n"/>
      <c r="C85" s="45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  <c r="AB85" s="36" t="n"/>
      <c r="AC85" s="36" t="n"/>
      <c r="AD85" s="36" t="n"/>
      <c r="AE85" s="36" t="n"/>
      <c r="AF85" s="36" t="n"/>
      <c r="AG85" s="36" t="n"/>
      <c r="AH85" s="36" t="n"/>
      <c r="AI85" s="36" t="n"/>
      <c r="AJ85" s="36" t="n"/>
      <c r="AK85" s="36" t="n"/>
      <c r="AL85" s="36" t="n"/>
      <c r="AM85" s="36" t="n"/>
      <c r="AN85" s="36" t="n"/>
      <c r="AO85" s="36" t="n"/>
      <c r="AP85" s="36" t="n"/>
      <c r="AQ85" s="36" t="n"/>
      <c r="AR85" s="36" t="n"/>
      <c r="AS85" s="36" t="n"/>
      <c r="AT85" s="36" t="n"/>
      <c r="AU85" s="36" t="n"/>
      <c r="AV85" s="36" t="n"/>
      <c r="AW85" s="36" t="n"/>
      <c r="AX85" s="36" t="n"/>
      <c r="AY85" s="36" t="n"/>
      <c r="AZ85" s="36" t="n"/>
      <c r="BA85" s="36" t="n"/>
      <c r="BB85" s="36" t="n"/>
      <c r="BC85" s="36" t="n"/>
      <c r="BD85" s="36" t="n"/>
      <c r="BE85" s="36" t="n"/>
      <c r="BF85" s="36" t="n"/>
      <c r="BG85" s="36" t="n"/>
      <c r="BH85" s="36" t="n"/>
      <c r="BI85" s="36" t="n"/>
      <c r="BJ85" s="36" t="n"/>
      <c r="BK85" s="36" t="n"/>
      <c r="BL85" s="36" t="n"/>
      <c r="BM85" s="36" t="n"/>
      <c r="BN85" s="36" t="n"/>
      <c r="BO85" s="36" t="n"/>
      <c r="BP85" s="36" t="n"/>
      <c r="BQ85" s="36" t="n"/>
      <c r="BR85" s="36" t="n"/>
      <c r="BS85" s="36" t="n"/>
      <c r="BT85" s="36" t="n"/>
      <c r="BU85" s="36" t="n"/>
      <c r="BV85" s="36" t="n"/>
      <c r="BW85" s="36" t="n"/>
      <c r="BX85" s="36" t="n"/>
      <c r="BY85" s="36" t="n"/>
      <c r="BZ85" s="36" t="n"/>
      <c r="CA85" s="36" t="n"/>
      <c r="CB85" s="36" t="n"/>
      <c r="CC85" s="36" t="n"/>
      <c r="CD85" s="36" t="n"/>
      <c r="CE85" s="36" t="n"/>
      <c r="CF85" s="36" t="n"/>
      <c r="CG85" s="36" t="n"/>
      <c r="CH85" s="36" t="n"/>
      <c r="CI85" s="36" t="n"/>
      <c r="CJ85" s="36" t="n"/>
      <c r="CK85" s="36" t="n"/>
      <c r="CL85" s="36" t="n"/>
      <c r="CM85" s="36" t="n"/>
      <c r="CN85" s="2" t="n"/>
      <c r="CO85" s="2" t="n"/>
      <c r="CP85" s="2" t="n"/>
      <c r="CQ85" s="2" t="n"/>
      <c r="CR85" s="2" t="n"/>
      <c r="CS85" s="2" t="n"/>
      <c r="CT85" s="2" t="n"/>
      <c r="CU85" s="2" t="n"/>
      <c r="CV85" s="2" t="n"/>
      <c r="CW85" s="2" t="n"/>
      <c r="CX85" s="2" t="n"/>
      <c r="CY85" s="2" t="n"/>
      <c r="CZ85" s="2" t="n"/>
      <c r="DA85" s="2" t="n"/>
      <c r="DB85" s="2" t="n"/>
      <c r="DC85" s="2" t="n"/>
      <c r="DD85" s="2" t="n"/>
      <c r="DE85" s="2" t="n"/>
      <c r="DF85" s="2" t="n"/>
      <c r="DG85" s="2" t="n"/>
      <c r="DH85" s="2" t="n"/>
    </row>
    <row r="86" ht="72" customFormat="1" customHeight="1" s="76">
      <c r="A86" s="33" t="n"/>
      <c r="B86" s="34" t="n"/>
      <c r="C86" s="45" t="n"/>
      <c r="D86" s="36" t="n"/>
      <c r="E86" s="36" t="n"/>
      <c r="F86" s="36" t="n"/>
      <c r="G86" s="36" t="n"/>
      <c r="H86" s="36" t="n"/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6" t="n"/>
      <c r="T86" s="36" t="n"/>
      <c r="U86" s="36" t="n"/>
      <c r="V86" s="36" t="n"/>
      <c r="W86" s="36" t="n"/>
      <c r="X86" s="36" t="n"/>
      <c r="Y86" s="36" t="n"/>
      <c r="Z86" s="36" t="n"/>
      <c r="AA86" s="36" t="n"/>
      <c r="AB86" s="36" t="n"/>
      <c r="AC86" s="36" t="n"/>
      <c r="AD86" s="36" t="n"/>
      <c r="AE86" s="36" t="n"/>
      <c r="AF86" s="36" t="n"/>
      <c r="AG86" s="36" t="n"/>
      <c r="AH86" s="36" t="n"/>
      <c r="AI86" s="36" t="n"/>
      <c r="AJ86" s="36" t="n"/>
      <c r="AK86" s="36" t="n"/>
      <c r="AL86" s="36" t="n"/>
      <c r="AM86" s="36" t="n"/>
      <c r="AN86" s="36" t="n"/>
      <c r="AO86" s="36" t="n"/>
      <c r="AP86" s="36" t="n"/>
      <c r="AQ86" s="36" t="n"/>
      <c r="AR86" s="36" t="n"/>
      <c r="AS86" s="36" t="n"/>
      <c r="AT86" s="36" t="n"/>
      <c r="AU86" s="36" t="n"/>
      <c r="AV86" s="36" t="n"/>
      <c r="AW86" s="36" t="n"/>
      <c r="AX86" s="36" t="n"/>
      <c r="AY86" s="36" t="n"/>
      <c r="AZ86" s="36" t="n"/>
      <c r="BA86" s="36" t="n"/>
      <c r="BB86" s="36" t="n"/>
      <c r="BC86" s="36" t="n"/>
      <c r="BD86" s="36" t="n"/>
      <c r="BE86" s="36" t="n"/>
      <c r="BF86" s="36" t="n"/>
      <c r="BG86" s="36" t="n"/>
      <c r="BH86" s="36" t="n"/>
      <c r="BI86" s="36" t="n"/>
      <c r="BJ86" s="36" t="n"/>
      <c r="BK86" s="36" t="n"/>
      <c r="BL86" s="36" t="n"/>
      <c r="BM86" s="36" t="n"/>
      <c r="BN86" s="36" t="n"/>
      <c r="BO86" s="36" t="n"/>
      <c r="BP86" s="36" t="n"/>
      <c r="BQ86" s="36" t="n"/>
      <c r="BR86" s="36" t="n"/>
      <c r="BS86" s="36" t="n"/>
      <c r="BT86" s="36" t="n"/>
      <c r="BU86" s="36" t="n"/>
      <c r="BV86" s="36" t="n"/>
      <c r="BW86" s="36" t="n"/>
      <c r="BX86" s="36" t="n"/>
      <c r="BY86" s="36" t="n"/>
      <c r="BZ86" s="36" t="n"/>
      <c r="CA86" s="36" t="n"/>
      <c r="CB86" s="36" t="n"/>
      <c r="CC86" s="36" t="n"/>
      <c r="CD86" s="36" t="n"/>
      <c r="CE86" s="36" t="n"/>
      <c r="CF86" s="36" t="n"/>
      <c r="CG86" s="36" t="n"/>
      <c r="CH86" s="36" t="n"/>
      <c r="CI86" s="36" t="n"/>
      <c r="CJ86" s="36" t="n"/>
      <c r="CK86" s="36" t="n"/>
      <c r="CL86" s="36" t="n"/>
      <c r="CM86" s="36" t="n"/>
      <c r="CN86" s="2" t="n"/>
      <c r="CO86" s="2" t="n"/>
      <c r="CP86" s="2" t="n"/>
      <c r="CQ86" s="2" t="n"/>
      <c r="CR86" s="2" t="n"/>
      <c r="CS86" s="2" t="n"/>
      <c r="CT86" s="2" t="n"/>
      <c r="CU86" s="2" t="n"/>
      <c r="CV86" s="2" t="n"/>
      <c r="CW86" s="2" t="n"/>
      <c r="CX86" s="2" t="n"/>
      <c r="CY86" s="2" t="n"/>
      <c r="CZ86" s="2" t="n"/>
      <c r="DA86" s="2" t="n"/>
      <c r="DB86" s="2" t="n"/>
      <c r="DC86" s="2" t="n"/>
      <c r="DD86" s="2" t="n"/>
      <c r="DE86" s="2" t="n"/>
      <c r="DF86" s="2" t="n"/>
      <c r="DG86" s="2" t="n"/>
      <c r="DH86" s="2" t="n"/>
    </row>
    <row r="87" ht="72" customFormat="1" customHeight="1" s="76">
      <c r="A87" s="33" t="n"/>
      <c r="B87" s="34" t="n"/>
      <c r="C87" s="4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  <c r="AB87" s="36" t="n"/>
      <c r="AC87" s="36" t="n"/>
      <c r="AD87" s="36" t="n"/>
      <c r="AE87" s="36" t="n"/>
      <c r="AF87" s="36" t="n"/>
      <c r="AG87" s="36" t="n"/>
      <c r="AH87" s="36" t="n"/>
      <c r="AI87" s="36" t="n"/>
      <c r="AJ87" s="36" t="n"/>
      <c r="AK87" s="36" t="n"/>
      <c r="AL87" s="36" t="n"/>
      <c r="AM87" s="36" t="n"/>
      <c r="AN87" s="36" t="n"/>
      <c r="AO87" s="36" t="n"/>
      <c r="AP87" s="36" t="n"/>
      <c r="AQ87" s="36" t="n"/>
      <c r="AR87" s="36" t="n"/>
      <c r="AS87" s="36" t="n"/>
      <c r="AT87" s="36" t="n"/>
      <c r="AU87" s="36" t="n"/>
      <c r="AV87" s="36" t="n"/>
      <c r="AW87" s="36" t="n"/>
      <c r="AX87" s="36" t="n"/>
      <c r="AY87" s="36" t="n"/>
      <c r="AZ87" s="36" t="n"/>
      <c r="BA87" s="36" t="n"/>
      <c r="BB87" s="36" t="n"/>
      <c r="BC87" s="36" t="n"/>
      <c r="BD87" s="36" t="n"/>
      <c r="BE87" s="36" t="n"/>
      <c r="BF87" s="36" t="n"/>
      <c r="BG87" s="36" t="n"/>
      <c r="BH87" s="36" t="n"/>
      <c r="BI87" s="36" t="n"/>
      <c r="BJ87" s="36" t="n"/>
      <c r="BK87" s="36" t="n"/>
      <c r="BL87" s="36" t="n"/>
      <c r="BM87" s="36" t="n"/>
      <c r="BN87" s="36" t="n"/>
      <c r="BO87" s="36" t="n"/>
      <c r="BP87" s="36" t="n"/>
      <c r="BQ87" s="36" t="n"/>
      <c r="BR87" s="36" t="n"/>
      <c r="BS87" s="36" t="n"/>
      <c r="BT87" s="36" t="n"/>
      <c r="BU87" s="36" t="n"/>
      <c r="BV87" s="36" t="n"/>
      <c r="BW87" s="36" t="n"/>
      <c r="BX87" s="36" t="n"/>
      <c r="BY87" s="36" t="n"/>
      <c r="BZ87" s="36" t="n"/>
      <c r="CA87" s="36" t="n"/>
      <c r="CB87" s="36" t="n"/>
      <c r="CC87" s="36" t="n"/>
      <c r="CD87" s="36" t="n"/>
      <c r="CE87" s="36" t="n"/>
      <c r="CF87" s="36" t="n"/>
      <c r="CG87" s="36" t="n"/>
      <c r="CH87" s="36" t="n"/>
      <c r="CI87" s="36" t="n"/>
      <c r="CJ87" s="36" t="n"/>
      <c r="CK87" s="36" t="n"/>
      <c r="CL87" s="36" t="n"/>
      <c r="CM87" s="36" t="n"/>
      <c r="CN87" s="2" t="n"/>
      <c r="CO87" s="2" t="n"/>
      <c r="CP87" s="2" t="n"/>
      <c r="CQ87" s="2" t="n"/>
      <c r="CR87" s="2" t="n"/>
      <c r="CS87" s="2" t="n"/>
      <c r="CT87" s="2" t="n"/>
      <c r="CU87" s="2" t="n"/>
      <c r="CV87" s="2" t="n"/>
      <c r="CW87" s="2" t="n"/>
      <c r="CX87" s="2" t="n"/>
      <c r="CY87" s="2" t="n"/>
      <c r="CZ87" s="2" t="n"/>
      <c r="DA87" s="2" t="n"/>
      <c r="DB87" s="2" t="n"/>
      <c r="DC87" s="2" t="n"/>
      <c r="DD87" s="2" t="n"/>
      <c r="DE87" s="2" t="n"/>
      <c r="DF87" s="2" t="n"/>
      <c r="DG87" s="2" t="n"/>
      <c r="DH87" s="2" t="n"/>
    </row>
    <row r="88" ht="72" customFormat="1" customHeight="1" s="76">
      <c r="A88" s="33" t="n"/>
      <c r="B88" s="35" t="n"/>
      <c r="C88" s="46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38" t="n"/>
      <c r="U88" s="38" t="n"/>
      <c r="V88" s="38" t="n"/>
      <c r="W88" s="38" t="n"/>
      <c r="X88" s="38" t="n"/>
      <c r="Y88" s="38" t="n"/>
      <c r="Z88" s="38" t="n"/>
      <c r="AA88" s="38" t="n"/>
      <c r="AB88" s="38" t="n"/>
      <c r="AC88" s="38" t="n"/>
      <c r="AD88" s="38" t="n"/>
      <c r="AE88" s="38" t="n"/>
      <c r="AF88" s="38" t="n"/>
      <c r="AG88" s="38" t="n"/>
      <c r="AH88" s="38" t="n"/>
      <c r="AI88" s="38" t="n"/>
      <c r="AJ88" s="38" t="n"/>
      <c r="AK88" s="38" t="n"/>
      <c r="AL88" s="38" t="n"/>
      <c r="AM88" s="38" t="n"/>
      <c r="AN88" s="38" t="n"/>
      <c r="AO88" s="38" t="n"/>
      <c r="AP88" s="38" t="n"/>
      <c r="AQ88" s="38" t="n"/>
      <c r="AR88" s="38" t="n"/>
      <c r="AS88" s="38" t="n"/>
      <c r="AT88" s="38" t="n"/>
      <c r="AU88" s="38" t="n"/>
      <c r="AV88" s="38" t="n"/>
      <c r="AW88" s="38" t="n"/>
      <c r="AX88" s="38" t="n"/>
      <c r="AY88" s="38" t="n"/>
      <c r="AZ88" s="38" t="n"/>
      <c r="BA88" s="38" t="n"/>
      <c r="BB88" s="38" t="n"/>
      <c r="BC88" s="38" t="n"/>
      <c r="BD88" s="38" t="n"/>
      <c r="BE88" s="38" t="n"/>
      <c r="BF88" s="38" t="n"/>
      <c r="BG88" s="38" t="n"/>
      <c r="BH88" s="38" t="n"/>
      <c r="BI88" s="38" t="n"/>
      <c r="BJ88" s="38" t="n"/>
      <c r="BK88" s="38" t="n"/>
      <c r="BL88" s="38" t="n"/>
      <c r="BM88" s="38" t="n"/>
      <c r="BN88" s="38" t="n"/>
      <c r="BO88" s="38" t="n"/>
      <c r="BP88" s="38" t="n"/>
      <c r="BQ88" s="38" t="n"/>
      <c r="BR88" s="38" t="n"/>
      <c r="BS88" s="38" t="n"/>
      <c r="BT88" s="38" t="n"/>
      <c r="BU88" s="38" t="n"/>
      <c r="BV88" s="38" t="n"/>
      <c r="BW88" s="38" t="n"/>
      <c r="BX88" s="38" t="n"/>
      <c r="BY88" s="38" t="n"/>
      <c r="BZ88" s="38" t="n"/>
      <c r="CA88" s="38" t="n"/>
      <c r="CB88" s="38" t="n"/>
      <c r="CC88" s="38" t="n"/>
      <c r="CD88" s="38" t="n"/>
      <c r="CE88" s="38" t="n"/>
      <c r="CF88" s="38" t="n"/>
      <c r="CG88" s="38" t="n"/>
      <c r="CH88" s="38" t="n"/>
      <c r="CI88" s="38" t="n"/>
      <c r="CJ88" s="38" t="n"/>
      <c r="CK88" s="38" t="n"/>
      <c r="CL88" s="38" t="n"/>
      <c r="CM88" s="38" t="n"/>
      <c r="CN88" s="2" t="n"/>
      <c r="CO88" s="2" t="n"/>
      <c r="CP88" s="2" t="n"/>
      <c r="CQ88" s="2" t="n"/>
      <c r="CR88" s="2" t="n"/>
      <c r="CS88" s="2" t="n"/>
      <c r="CT88" s="2" t="n"/>
      <c r="CU88" s="2" t="n"/>
      <c r="CV88" s="2" t="n"/>
      <c r="CW88" s="2" t="n"/>
      <c r="CX88" s="2" t="n"/>
      <c r="CY88" s="2" t="n"/>
      <c r="CZ88" s="2" t="n"/>
      <c r="DA88" s="2" t="n"/>
      <c r="DB88" s="2" t="n"/>
      <c r="DC88" s="2" t="n"/>
      <c r="DD88" s="2" t="n"/>
      <c r="DE88" s="2" t="n"/>
      <c r="DF88" s="2" t="n"/>
      <c r="DG88" s="2" t="n"/>
      <c r="DH88" s="2" t="n"/>
    </row>
    <row r="89" ht="72" customFormat="1" customHeight="1" s="76">
      <c r="A89" s="33" t="n"/>
      <c r="B89" s="34" t="n"/>
      <c r="C89" s="45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  <c r="AB89" s="36" t="n"/>
      <c r="AC89" s="36" t="n"/>
      <c r="AD89" s="36" t="n"/>
      <c r="AE89" s="36" t="n"/>
      <c r="AF89" s="36" t="n"/>
      <c r="AG89" s="36" t="n"/>
      <c r="AH89" s="36" t="n"/>
      <c r="AI89" s="36" t="n"/>
      <c r="AJ89" s="36" t="n"/>
      <c r="AK89" s="36" t="n"/>
      <c r="AL89" s="36" t="n"/>
      <c r="AM89" s="36" t="n"/>
      <c r="AN89" s="36" t="n"/>
      <c r="AO89" s="36" t="n"/>
      <c r="AP89" s="36" t="n"/>
      <c r="AQ89" s="36" t="n"/>
      <c r="AR89" s="36" t="n"/>
      <c r="AS89" s="36" t="n"/>
      <c r="AT89" s="36" t="n"/>
      <c r="AU89" s="36" t="n"/>
      <c r="AV89" s="36" t="n"/>
      <c r="AW89" s="36" t="n"/>
      <c r="AX89" s="36" t="n"/>
      <c r="AY89" s="36" t="n"/>
      <c r="AZ89" s="36" t="n"/>
      <c r="BA89" s="36" t="n"/>
      <c r="BB89" s="36" t="n"/>
      <c r="BC89" s="36" t="n"/>
      <c r="BD89" s="36" t="n"/>
      <c r="BE89" s="36" t="n"/>
      <c r="BF89" s="36" t="n"/>
      <c r="BG89" s="36" t="n"/>
      <c r="BH89" s="36" t="n"/>
      <c r="BI89" s="36" t="n"/>
      <c r="BJ89" s="36" t="n"/>
      <c r="BK89" s="36" t="n"/>
      <c r="BL89" s="36" t="n"/>
      <c r="BM89" s="36" t="n"/>
      <c r="BN89" s="36" t="n"/>
      <c r="BO89" s="36" t="n"/>
      <c r="BP89" s="36" t="n"/>
      <c r="BQ89" s="36" t="n"/>
      <c r="BR89" s="36" t="n"/>
      <c r="BS89" s="36" t="n"/>
      <c r="BT89" s="36" t="n"/>
      <c r="BU89" s="36" t="n"/>
      <c r="BV89" s="36" t="n"/>
      <c r="BW89" s="36" t="n"/>
      <c r="BX89" s="36" t="n"/>
      <c r="BY89" s="36" t="n"/>
      <c r="BZ89" s="36" t="n"/>
      <c r="CA89" s="36" t="n"/>
      <c r="CB89" s="36" t="n"/>
      <c r="CC89" s="36" t="n"/>
      <c r="CD89" s="36" t="n"/>
      <c r="CE89" s="36" t="n"/>
      <c r="CF89" s="36" t="n"/>
      <c r="CG89" s="36" t="n"/>
      <c r="CH89" s="36" t="n"/>
      <c r="CI89" s="36" t="n"/>
      <c r="CJ89" s="36" t="n"/>
      <c r="CK89" s="36" t="n"/>
      <c r="CL89" s="36" t="n"/>
      <c r="CM89" s="36" t="n"/>
      <c r="CN89" s="2" t="n"/>
      <c r="CO89" s="2" t="n"/>
      <c r="CP89" s="2" t="n"/>
      <c r="CQ89" s="2" t="n"/>
      <c r="CR89" s="2" t="n"/>
      <c r="CS89" s="2" t="n"/>
      <c r="CT89" s="2" t="n"/>
      <c r="CU89" s="2" t="n"/>
      <c r="CV89" s="2" t="n"/>
      <c r="CW89" s="2" t="n"/>
      <c r="CX89" s="2" t="n"/>
      <c r="CY89" s="2" t="n"/>
      <c r="CZ89" s="2" t="n"/>
      <c r="DA89" s="2" t="n"/>
      <c r="DB89" s="2" t="n"/>
      <c r="DC89" s="2" t="n"/>
      <c r="DD89" s="2" t="n"/>
      <c r="DE89" s="2" t="n"/>
      <c r="DF89" s="2" t="n"/>
      <c r="DG89" s="2" t="n"/>
      <c r="DH89" s="2" t="n"/>
    </row>
    <row r="90" ht="72" customFormat="1" customHeight="1" s="76">
      <c r="A90" s="33" t="n"/>
      <c r="B90" s="34" t="n"/>
      <c r="C90" s="4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6" t="n"/>
      <c r="Z90" s="36" t="n"/>
      <c r="AA90" s="36" t="n"/>
      <c r="AB90" s="36" t="n"/>
      <c r="AC90" s="36" t="n"/>
      <c r="AD90" s="36" t="n"/>
      <c r="AE90" s="36" t="n"/>
      <c r="AF90" s="36" t="n"/>
      <c r="AG90" s="36" t="n"/>
      <c r="AH90" s="36" t="n"/>
      <c r="AI90" s="36" t="n"/>
      <c r="AJ90" s="36" t="n"/>
      <c r="AK90" s="36" t="n"/>
      <c r="AL90" s="36" t="n"/>
      <c r="AM90" s="36" t="n"/>
      <c r="AN90" s="36" t="n"/>
      <c r="AO90" s="36" t="n"/>
      <c r="AP90" s="36" t="n"/>
      <c r="AQ90" s="36" t="n"/>
      <c r="AR90" s="36" t="n"/>
      <c r="AS90" s="36" t="n"/>
      <c r="AT90" s="36" t="n"/>
      <c r="AU90" s="36" t="n"/>
      <c r="AV90" s="36" t="n"/>
      <c r="AW90" s="36" t="n"/>
      <c r="AX90" s="36" t="n"/>
      <c r="AY90" s="36" t="n"/>
      <c r="AZ90" s="36" t="n"/>
      <c r="BA90" s="36" t="n"/>
      <c r="BB90" s="36" t="n"/>
      <c r="BC90" s="36" t="n"/>
      <c r="BD90" s="36" t="n"/>
      <c r="BE90" s="36" t="n"/>
      <c r="BF90" s="36" t="n"/>
      <c r="BG90" s="36" t="n"/>
      <c r="BH90" s="36" t="n"/>
      <c r="BI90" s="36" t="n"/>
      <c r="BJ90" s="36" t="n"/>
      <c r="BK90" s="36" t="n"/>
      <c r="BL90" s="36" t="n"/>
      <c r="BM90" s="36" t="n"/>
      <c r="BN90" s="36" t="n"/>
      <c r="BO90" s="36" t="n"/>
      <c r="BP90" s="36" t="n"/>
      <c r="BQ90" s="36" t="n"/>
      <c r="BR90" s="36" t="n"/>
      <c r="BS90" s="36" t="n"/>
      <c r="BT90" s="36" t="n"/>
      <c r="BU90" s="36" t="n"/>
      <c r="BV90" s="36" t="n"/>
      <c r="BW90" s="36" t="n"/>
      <c r="BX90" s="36" t="n"/>
      <c r="BY90" s="36" t="n"/>
      <c r="BZ90" s="36" t="n"/>
      <c r="CA90" s="36" t="n"/>
      <c r="CB90" s="36" t="n"/>
      <c r="CC90" s="36" t="n"/>
      <c r="CD90" s="36" t="n"/>
      <c r="CE90" s="36" t="n"/>
      <c r="CF90" s="36" t="n"/>
      <c r="CG90" s="36" t="n"/>
      <c r="CH90" s="36" t="n"/>
      <c r="CI90" s="36" t="n"/>
      <c r="CJ90" s="36" t="n"/>
      <c r="CK90" s="36" t="n"/>
      <c r="CL90" s="36" t="n"/>
      <c r="CM90" s="36" t="n"/>
      <c r="CN90" s="2" t="n"/>
      <c r="CO90" s="2" t="n"/>
      <c r="CP90" s="2" t="n"/>
      <c r="CQ90" s="2" t="n"/>
      <c r="CR90" s="2" t="n"/>
      <c r="CS90" s="2" t="n"/>
      <c r="CT90" s="2" t="n"/>
      <c r="CU90" s="2" t="n"/>
      <c r="CV90" s="2" t="n"/>
      <c r="CW90" s="2" t="n"/>
      <c r="CX90" s="2" t="n"/>
      <c r="CY90" s="2" t="n"/>
      <c r="CZ90" s="2" t="n"/>
      <c r="DA90" s="2" t="n"/>
      <c r="DB90" s="2" t="n"/>
      <c r="DC90" s="2" t="n"/>
      <c r="DD90" s="2" t="n"/>
      <c r="DE90" s="2" t="n"/>
      <c r="DF90" s="2" t="n"/>
      <c r="DG90" s="2" t="n"/>
      <c r="DH90" s="2" t="n"/>
    </row>
    <row r="91" ht="72" customFormat="1" customHeight="1" s="76">
      <c r="A91" s="33" t="n"/>
      <c r="B91" s="34" t="n"/>
      <c r="C91" s="45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  <c r="AB91" s="36" t="n"/>
      <c r="AC91" s="36" t="n"/>
      <c r="AD91" s="36" t="n"/>
      <c r="AE91" s="36" t="n"/>
      <c r="AF91" s="36" t="n"/>
      <c r="AG91" s="36" t="n"/>
      <c r="AH91" s="36" t="n"/>
      <c r="AI91" s="36" t="n"/>
      <c r="AJ91" s="36" t="n"/>
      <c r="AK91" s="36" t="n"/>
      <c r="AL91" s="36" t="n"/>
      <c r="AM91" s="36" t="n"/>
      <c r="AN91" s="36" t="n"/>
      <c r="AO91" s="36" t="n"/>
      <c r="AP91" s="36" t="n"/>
      <c r="AQ91" s="36" t="n"/>
      <c r="AR91" s="36" t="n"/>
      <c r="AS91" s="36" t="n"/>
      <c r="AT91" s="36" t="n"/>
      <c r="AU91" s="36" t="n"/>
      <c r="AV91" s="36" t="n"/>
      <c r="AW91" s="36" t="n"/>
      <c r="AX91" s="36" t="n"/>
      <c r="AY91" s="36" t="n"/>
      <c r="AZ91" s="36" t="n"/>
      <c r="BA91" s="36" t="n"/>
      <c r="BB91" s="36" t="n"/>
      <c r="BC91" s="36" t="n"/>
      <c r="BD91" s="36" t="n"/>
      <c r="BE91" s="36" t="n"/>
      <c r="BF91" s="36" t="n"/>
      <c r="BG91" s="36" t="n"/>
      <c r="BH91" s="36" t="n"/>
      <c r="BI91" s="36" t="n"/>
      <c r="BJ91" s="36" t="n"/>
      <c r="BK91" s="36" t="n"/>
      <c r="BL91" s="36" t="n"/>
      <c r="BM91" s="36" t="n"/>
      <c r="BN91" s="36" t="n"/>
      <c r="BO91" s="36" t="n"/>
      <c r="BP91" s="36" t="n"/>
      <c r="BQ91" s="36" t="n"/>
      <c r="BR91" s="36" t="n"/>
      <c r="BS91" s="36" t="n"/>
      <c r="BT91" s="36" t="n"/>
      <c r="BU91" s="36" t="n"/>
      <c r="BV91" s="36" t="n"/>
      <c r="BW91" s="36" t="n"/>
      <c r="BX91" s="36" t="n"/>
      <c r="BY91" s="36" t="n"/>
      <c r="BZ91" s="36" t="n"/>
      <c r="CA91" s="36" t="n"/>
      <c r="CB91" s="36" t="n"/>
      <c r="CC91" s="36" t="n"/>
      <c r="CD91" s="36" t="n"/>
      <c r="CE91" s="36" t="n"/>
      <c r="CF91" s="36" t="n"/>
      <c r="CG91" s="36" t="n"/>
      <c r="CH91" s="36" t="n"/>
      <c r="CI91" s="36" t="n"/>
      <c r="CJ91" s="36" t="n"/>
      <c r="CK91" s="36" t="n"/>
      <c r="CL91" s="36" t="n"/>
      <c r="CM91" s="36" t="n"/>
      <c r="CN91" s="2" t="n"/>
      <c r="CO91" s="2" t="n"/>
      <c r="CP91" s="2" t="n"/>
      <c r="CQ91" s="2" t="n"/>
      <c r="CR91" s="2" t="n"/>
      <c r="CS91" s="2" t="n"/>
      <c r="CT91" s="2" t="n"/>
      <c r="CU91" s="2" t="n"/>
      <c r="CV91" s="2" t="n"/>
      <c r="CW91" s="2" t="n"/>
      <c r="CX91" s="2" t="n"/>
      <c r="CY91" s="2" t="n"/>
      <c r="CZ91" s="2" t="n"/>
      <c r="DA91" s="2" t="n"/>
      <c r="DB91" s="2" t="n"/>
      <c r="DC91" s="2" t="n"/>
      <c r="DD91" s="2" t="n"/>
      <c r="DE91" s="2" t="n"/>
      <c r="DF91" s="2" t="n"/>
      <c r="DG91" s="2" t="n"/>
      <c r="DH91" s="2" t="n"/>
    </row>
    <row r="92" ht="72" customFormat="1" customHeight="1" s="76">
      <c r="A92" s="33" t="n"/>
      <c r="B92" s="34" t="n"/>
      <c r="C92" s="45" t="n"/>
      <c r="D92" s="36" t="n"/>
      <c r="E92" s="36" t="n"/>
      <c r="F92" s="36" t="n"/>
      <c r="G92" s="36" t="n"/>
      <c r="H92" s="36" t="n"/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  <c r="AB92" s="36" t="n"/>
      <c r="AC92" s="36" t="n"/>
      <c r="AD92" s="36" t="n"/>
      <c r="AE92" s="36" t="n"/>
      <c r="AF92" s="36" t="n"/>
      <c r="AG92" s="36" t="n"/>
      <c r="AH92" s="36" t="n"/>
      <c r="AI92" s="36" t="n"/>
      <c r="AJ92" s="36" t="n"/>
      <c r="AK92" s="36" t="n"/>
      <c r="AL92" s="36" t="n"/>
      <c r="AM92" s="36" t="n"/>
      <c r="AN92" s="36" t="n"/>
      <c r="AO92" s="36" t="n"/>
      <c r="AP92" s="36" t="n"/>
      <c r="AQ92" s="36" t="n"/>
      <c r="AR92" s="36" t="n"/>
      <c r="AS92" s="36" t="n"/>
      <c r="AT92" s="36" t="n"/>
      <c r="AU92" s="36" t="n"/>
      <c r="AV92" s="36" t="n"/>
      <c r="AW92" s="36" t="n"/>
      <c r="AX92" s="36" t="n"/>
      <c r="AY92" s="36" t="n"/>
      <c r="AZ92" s="36" t="n"/>
      <c r="BA92" s="36" t="n"/>
      <c r="BB92" s="36" t="n"/>
      <c r="BC92" s="36" t="n"/>
      <c r="BD92" s="36" t="n"/>
      <c r="BE92" s="36" t="n"/>
      <c r="BF92" s="36" t="n"/>
      <c r="BG92" s="36" t="n"/>
      <c r="BH92" s="36" t="n"/>
      <c r="BI92" s="36" t="n"/>
      <c r="BJ92" s="36" t="n"/>
      <c r="BK92" s="36" t="n"/>
      <c r="BL92" s="36" t="n"/>
      <c r="BM92" s="36" t="n"/>
      <c r="BN92" s="36" t="n"/>
      <c r="BO92" s="36" t="n"/>
      <c r="BP92" s="36" t="n"/>
      <c r="BQ92" s="36" t="n"/>
      <c r="BR92" s="36" t="n"/>
      <c r="BS92" s="36" t="n"/>
      <c r="BT92" s="36" t="n"/>
      <c r="BU92" s="36" t="n"/>
      <c r="BV92" s="36" t="n"/>
      <c r="BW92" s="36" t="n"/>
      <c r="BX92" s="36" t="n"/>
      <c r="BY92" s="36" t="n"/>
      <c r="BZ92" s="36" t="n"/>
      <c r="CA92" s="36" t="n"/>
      <c r="CB92" s="36" t="n"/>
      <c r="CC92" s="36" t="n"/>
      <c r="CD92" s="36" t="n"/>
      <c r="CE92" s="36" t="n"/>
      <c r="CF92" s="36" t="n"/>
      <c r="CG92" s="36" t="n"/>
      <c r="CH92" s="36" t="n"/>
      <c r="CI92" s="36" t="n"/>
      <c r="CJ92" s="36" t="n"/>
      <c r="CK92" s="36" t="n"/>
      <c r="CL92" s="36" t="n"/>
      <c r="CM92" s="36" t="n"/>
      <c r="CN92" s="2" t="n"/>
      <c r="CO92" s="2" t="n"/>
      <c r="CP92" s="2" t="n"/>
      <c r="CQ92" s="2" t="n"/>
      <c r="CR92" s="2" t="n"/>
      <c r="CS92" s="2" t="n"/>
      <c r="CT92" s="2" t="n"/>
      <c r="CU92" s="2" t="n"/>
      <c r="CV92" s="2" t="n"/>
      <c r="CW92" s="2" t="n"/>
      <c r="CX92" s="2" t="n"/>
      <c r="CY92" s="2" t="n"/>
      <c r="CZ92" s="2" t="n"/>
      <c r="DA92" s="2" t="n"/>
      <c r="DB92" s="2" t="n"/>
      <c r="DC92" s="2" t="n"/>
      <c r="DD92" s="2" t="n"/>
      <c r="DE92" s="2" t="n"/>
      <c r="DF92" s="2" t="n"/>
      <c r="DG92" s="2" t="n"/>
      <c r="DH92" s="2" t="n"/>
    </row>
    <row r="93" ht="72" customFormat="1" customHeight="1" s="76">
      <c r="A93" s="33" t="n"/>
      <c r="B93" s="34" t="n"/>
      <c r="C93" s="4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  <c r="AB93" s="36" t="n"/>
      <c r="AC93" s="36" t="n"/>
      <c r="AD93" s="36" t="n"/>
      <c r="AE93" s="36" t="n"/>
      <c r="AF93" s="36" t="n"/>
      <c r="AG93" s="36" t="n"/>
      <c r="AH93" s="36" t="n"/>
      <c r="AI93" s="36" t="n"/>
      <c r="AJ93" s="36" t="n"/>
      <c r="AK93" s="36" t="n"/>
      <c r="AL93" s="36" t="n"/>
      <c r="AM93" s="36" t="n"/>
      <c r="AN93" s="36" t="n"/>
      <c r="AO93" s="36" t="n"/>
      <c r="AP93" s="36" t="n"/>
      <c r="AQ93" s="36" t="n"/>
      <c r="AR93" s="36" t="n"/>
      <c r="AS93" s="36" t="n"/>
      <c r="AT93" s="36" t="n"/>
      <c r="AU93" s="36" t="n"/>
      <c r="AV93" s="36" t="n"/>
      <c r="AW93" s="36" t="n"/>
      <c r="AX93" s="36" t="n"/>
      <c r="AY93" s="36" t="n"/>
      <c r="AZ93" s="36" t="n"/>
      <c r="BA93" s="36" t="n"/>
      <c r="BB93" s="36" t="n"/>
      <c r="BC93" s="36" t="n"/>
      <c r="BD93" s="36" t="n"/>
      <c r="BE93" s="36" t="n"/>
      <c r="BF93" s="36" t="n"/>
      <c r="BG93" s="36" t="n"/>
      <c r="BH93" s="36" t="n"/>
      <c r="BI93" s="36" t="n"/>
      <c r="BJ93" s="36" t="n"/>
      <c r="BK93" s="36" t="n"/>
      <c r="BL93" s="36" t="n"/>
      <c r="BM93" s="36" t="n"/>
      <c r="BN93" s="36" t="n"/>
      <c r="BO93" s="36" t="n"/>
      <c r="BP93" s="36" t="n"/>
      <c r="BQ93" s="36" t="n"/>
      <c r="BR93" s="36" t="n"/>
      <c r="BS93" s="36" t="n"/>
      <c r="BT93" s="36" t="n"/>
      <c r="BU93" s="36" t="n"/>
      <c r="BV93" s="36" t="n"/>
      <c r="BW93" s="36" t="n"/>
      <c r="BX93" s="36" t="n"/>
      <c r="BY93" s="36" t="n"/>
      <c r="BZ93" s="36" t="n"/>
      <c r="CA93" s="36" t="n"/>
      <c r="CB93" s="36" t="n"/>
      <c r="CC93" s="36" t="n"/>
      <c r="CD93" s="36" t="n"/>
      <c r="CE93" s="36" t="n"/>
      <c r="CF93" s="36" t="n"/>
      <c r="CG93" s="36" t="n"/>
      <c r="CH93" s="36" t="n"/>
      <c r="CI93" s="36" t="n"/>
      <c r="CJ93" s="36" t="n"/>
      <c r="CK93" s="36" t="n"/>
      <c r="CL93" s="36" t="n"/>
      <c r="CM93" s="36" t="n"/>
      <c r="CN93" s="2" t="n"/>
      <c r="CO93" s="2" t="n"/>
      <c r="CP93" s="2" t="n"/>
      <c r="CQ93" s="2" t="n"/>
      <c r="CR93" s="2" t="n"/>
      <c r="CS93" s="2" t="n"/>
      <c r="CT93" s="2" t="n"/>
      <c r="CU93" s="2" t="n"/>
      <c r="CV93" s="2" t="n"/>
      <c r="CW93" s="2" t="n"/>
      <c r="CX93" s="2" t="n"/>
      <c r="CY93" s="2" t="n"/>
      <c r="CZ93" s="2" t="n"/>
      <c r="DA93" s="2" t="n"/>
      <c r="DB93" s="2" t="n"/>
      <c r="DC93" s="2" t="n"/>
      <c r="DD93" s="2" t="n"/>
      <c r="DE93" s="2" t="n"/>
      <c r="DF93" s="2" t="n"/>
      <c r="DG93" s="2" t="n"/>
      <c r="DH93" s="2" t="n"/>
    </row>
    <row r="94" ht="72" customFormat="1" customHeight="1" s="76">
      <c r="A94" s="33" t="n"/>
      <c r="B94" s="34" t="n"/>
      <c r="C94" s="45" t="n"/>
      <c r="D94" s="36" t="n"/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6" t="n"/>
      <c r="T94" s="36" t="n"/>
      <c r="U94" s="36" t="n"/>
      <c r="V94" s="36" t="n"/>
      <c r="W94" s="36" t="n"/>
      <c r="X94" s="36" t="n"/>
      <c r="Y94" s="36" t="n"/>
      <c r="Z94" s="36" t="n"/>
      <c r="AA94" s="36" t="n"/>
      <c r="AB94" s="36" t="n"/>
      <c r="AC94" s="36" t="n"/>
      <c r="AD94" s="36" t="n"/>
      <c r="AE94" s="36" t="n"/>
      <c r="AF94" s="36" t="n"/>
      <c r="AG94" s="36" t="n"/>
      <c r="AH94" s="36" t="n"/>
      <c r="AI94" s="36" t="n"/>
      <c r="AJ94" s="36" t="n"/>
      <c r="AK94" s="36" t="n"/>
      <c r="AL94" s="36" t="n"/>
      <c r="AM94" s="36" t="n"/>
      <c r="AN94" s="36" t="n"/>
      <c r="AO94" s="36" t="n"/>
      <c r="AP94" s="36" t="n"/>
      <c r="AQ94" s="36" t="n"/>
      <c r="AR94" s="36" t="n"/>
      <c r="AS94" s="36" t="n"/>
      <c r="AT94" s="36" t="n"/>
      <c r="AU94" s="36" t="n"/>
      <c r="AV94" s="36" t="n"/>
      <c r="AW94" s="36" t="n"/>
      <c r="AX94" s="36" t="n"/>
      <c r="AY94" s="36" t="n"/>
      <c r="AZ94" s="36" t="n"/>
      <c r="BA94" s="36" t="n"/>
      <c r="BB94" s="36" t="n"/>
      <c r="BC94" s="36" t="n"/>
      <c r="BD94" s="36" t="n"/>
      <c r="BE94" s="36" t="n"/>
      <c r="BF94" s="36" t="n"/>
      <c r="BG94" s="36" t="n"/>
      <c r="BH94" s="36" t="n"/>
      <c r="BI94" s="36" t="n"/>
      <c r="BJ94" s="36" t="n"/>
      <c r="BK94" s="36" t="n"/>
      <c r="BL94" s="36" t="n"/>
      <c r="BM94" s="36" t="n"/>
      <c r="BN94" s="36" t="n"/>
      <c r="BO94" s="36" t="n"/>
      <c r="BP94" s="36" t="n"/>
      <c r="BQ94" s="36" t="n"/>
      <c r="BR94" s="36" t="n"/>
      <c r="BS94" s="36" t="n"/>
      <c r="BT94" s="36" t="n"/>
      <c r="BU94" s="36" t="n"/>
      <c r="BV94" s="36" t="n"/>
      <c r="BW94" s="36" t="n"/>
      <c r="BX94" s="36" t="n"/>
      <c r="BY94" s="36" t="n"/>
      <c r="BZ94" s="36" t="n"/>
      <c r="CA94" s="36" t="n"/>
      <c r="CB94" s="36" t="n"/>
      <c r="CC94" s="36" t="n"/>
      <c r="CD94" s="36" t="n"/>
      <c r="CE94" s="36" t="n"/>
      <c r="CF94" s="36" t="n"/>
      <c r="CG94" s="36" t="n"/>
      <c r="CH94" s="36" t="n"/>
      <c r="CI94" s="36" t="n"/>
      <c r="CJ94" s="36" t="n"/>
      <c r="CK94" s="36" t="n"/>
      <c r="CL94" s="36" t="n"/>
      <c r="CM94" s="36" t="n"/>
      <c r="CN94" s="2" t="n"/>
      <c r="CO94" s="2" t="n"/>
      <c r="CP94" s="2" t="n"/>
      <c r="CQ94" s="2" t="n"/>
      <c r="CR94" s="2" t="n"/>
      <c r="CS94" s="2" t="n"/>
      <c r="CT94" s="2" t="n"/>
      <c r="CU94" s="2" t="n"/>
      <c r="CV94" s="2" t="n"/>
      <c r="CW94" s="2" t="n"/>
      <c r="CX94" s="2" t="n"/>
      <c r="CY94" s="2" t="n"/>
      <c r="CZ94" s="2" t="n"/>
      <c r="DA94" s="2" t="n"/>
      <c r="DB94" s="2" t="n"/>
      <c r="DC94" s="2" t="n"/>
      <c r="DD94" s="2" t="n"/>
      <c r="DE94" s="2" t="n"/>
      <c r="DF94" s="2" t="n"/>
      <c r="DG94" s="2" t="n"/>
      <c r="DH94" s="2" t="n"/>
    </row>
    <row r="95" ht="72" customFormat="1" customHeight="1" s="76">
      <c r="A95" s="33" t="n"/>
      <c r="B95" s="34" t="n"/>
      <c r="C95" s="45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  <c r="AB95" s="36" t="n"/>
      <c r="AC95" s="36" t="n"/>
      <c r="AD95" s="36" t="n"/>
      <c r="AE95" s="36" t="n"/>
      <c r="AF95" s="36" t="n"/>
      <c r="AG95" s="36" t="n"/>
      <c r="AH95" s="36" t="n"/>
      <c r="AI95" s="36" t="n"/>
      <c r="AJ95" s="36" t="n"/>
      <c r="AK95" s="36" t="n"/>
      <c r="AL95" s="36" t="n"/>
      <c r="AM95" s="36" t="n"/>
      <c r="AN95" s="36" t="n"/>
      <c r="AO95" s="36" t="n"/>
      <c r="AP95" s="36" t="n"/>
      <c r="AQ95" s="36" t="n"/>
      <c r="AR95" s="36" t="n"/>
      <c r="AS95" s="36" t="n"/>
      <c r="AT95" s="36" t="n"/>
      <c r="AU95" s="36" t="n"/>
      <c r="AV95" s="36" t="n"/>
      <c r="AW95" s="36" t="n"/>
      <c r="AX95" s="36" t="n"/>
      <c r="AY95" s="36" t="n"/>
      <c r="AZ95" s="36" t="n"/>
      <c r="BA95" s="36" t="n"/>
      <c r="BB95" s="36" t="n"/>
      <c r="BC95" s="36" t="n"/>
      <c r="BD95" s="36" t="n"/>
      <c r="BE95" s="36" t="n"/>
      <c r="BF95" s="36" t="n"/>
      <c r="BG95" s="36" t="n"/>
      <c r="BH95" s="36" t="n"/>
      <c r="BI95" s="36" t="n"/>
      <c r="BJ95" s="36" t="n"/>
      <c r="BK95" s="36" t="n"/>
      <c r="BL95" s="36" t="n"/>
      <c r="BM95" s="36" t="n"/>
      <c r="BN95" s="36" t="n"/>
      <c r="BO95" s="36" t="n"/>
      <c r="BP95" s="36" t="n"/>
      <c r="BQ95" s="36" t="n"/>
      <c r="BR95" s="36" t="n"/>
      <c r="BS95" s="36" t="n"/>
      <c r="BT95" s="36" t="n"/>
      <c r="BU95" s="36" t="n"/>
      <c r="BV95" s="36" t="n"/>
      <c r="BW95" s="36" t="n"/>
      <c r="BX95" s="36" t="n"/>
      <c r="BY95" s="36" t="n"/>
      <c r="BZ95" s="36" t="n"/>
      <c r="CA95" s="36" t="n"/>
      <c r="CB95" s="36" t="n"/>
      <c r="CC95" s="36" t="n"/>
      <c r="CD95" s="36" t="n"/>
      <c r="CE95" s="36" t="n"/>
      <c r="CF95" s="36" t="n"/>
      <c r="CG95" s="36" t="n"/>
      <c r="CH95" s="36" t="n"/>
      <c r="CI95" s="36" t="n"/>
      <c r="CJ95" s="36" t="n"/>
      <c r="CK95" s="36" t="n"/>
      <c r="CL95" s="36" t="n"/>
      <c r="CM95" s="36" t="n"/>
      <c r="CN95" s="2" t="n"/>
      <c r="CO95" s="2" t="n"/>
      <c r="CP95" s="2" t="n"/>
      <c r="CQ95" s="2" t="n"/>
      <c r="CR95" s="2" t="n"/>
      <c r="CS95" s="2" t="n"/>
      <c r="CT95" s="2" t="n"/>
      <c r="CU95" s="2" t="n"/>
      <c r="CV95" s="2" t="n"/>
      <c r="CW95" s="2" t="n"/>
      <c r="CX95" s="2" t="n"/>
      <c r="CY95" s="2" t="n"/>
      <c r="CZ95" s="2" t="n"/>
      <c r="DA95" s="2" t="n"/>
      <c r="DB95" s="2" t="n"/>
      <c r="DC95" s="2" t="n"/>
      <c r="DD95" s="2" t="n"/>
      <c r="DE95" s="2" t="n"/>
      <c r="DF95" s="2" t="n"/>
      <c r="DG95" s="2" t="n"/>
      <c r="DH95" s="2" t="n"/>
    </row>
    <row r="96" ht="45" customFormat="1" customHeight="1" s="76">
      <c r="A96" s="33" t="n"/>
      <c r="B96" s="34" t="n"/>
      <c r="C96" s="45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  <c r="AB96" s="36" t="n"/>
      <c r="AC96" s="36" t="n"/>
      <c r="AD96" s="36" t="n"/>
      <c r="AE96" s="36" t="n"/>
      <c r="AF96" s="36" t="n"/>
      <c r="AG96" s="36" t="n"/>
      <c r="AH96" s="36" t="n"/>
      <c r="AI96" s="36" t="n"/>
      <c r="AJ96" s="36" t="n"/>
      <c r="AK96" s="36" t="n"/>
      <c r="AL96" s="36" t="n"/>
      <c r="AM96" s="36" t="n"/>
      <c r="AN96" s="36" t="n"/>
      <c r="AO96" s="36" t="n"/>
      <c r="AP96" s="36" t="n"/>
      <c r="AQ96" s="36" t="n"/>
      <c r="AR96" s="36" t="n"/>
      <c r="AS96" s="36" t="n"/>
      <c r="AT96" s="36" t="n"/>
      <c r="AU96" s="36" t="n"/>
      <c r="AV96" s="36" t="n"/>
      <c r="AW96" s="36" t="n"/>
      <c r="AX96" s="36" t="n"/>
      <c r="AY96" s="36" t="n"/>
      <c r="AZ96" s="36" t="n"/>
      <c r="BA96" s="36" t="n"/>
      <c r="BB96" s="36" t="n"/>
      <c r="BC96" s="36" t="n"/>
      <c r="BD96" s="36" t="n"/>
      <c r="BE96" s="36" t="n"/>
      <c r="BF96" s="36" t="n"/>
      <c r="BG96" s="36" t="n"/>
      <c r="BH96" s="36" t="n"/>
      <c r="BI96" s="36" t="n"/>
      <c r="BJ96" s="36" t="n"/>
      <c r="BK96" s="36" t="n"/>
      <c r="BL96" s="36" t="n"/>
      <c r="BM96" s="36" t="n"/>
      <c r="BN96" s="36" t="n"/>
      <c r="BO96" s="36" t="n"/>
      <c r="BP96" s="36" t="n"/>
      <c r="BQ96" s="36" t="n"/>
      <c r="BR96" s="36" t="n"/>
      <c r="BS96" s="36" t="n"/>
      <c r="BT96" s="36" t="n"/>
      <c r="BU96" s="36" t="n"/>
      <c r="BV96" s="36" t="n"/>
      <c r="BW96" s="36" t="n"/>
      <c r="BX96" s="36" t="n"/>
      <c r="BY96" s="36" t="n"/>
      <c r="BZ96" s="36" t="n"/>
      <c r="CA96" s="36" t="n"/>
      <c r="CB96" s="36" t="n"/>
      <c r="CC96" s="36" t="n"/>
      <c r="CD96" s="36" t="n"/>
      <c r="CE96" s="36" t="n"/>
      <c r="CF96" s="36" t="n"/>
      <c r="CG96" s="36" t="n"/>
      <c r="CH96" s="36" t="n"/>
      <c r="CI96" s="36" t="n"/>
      <c r="CJ96" s="36" t="n"/>
      <c r="CK96" s="36" t="n"/>
      <c r="CL96" s="36" t="n"/>
      <c r="CM96" s="36" t="n"/>
      <c r="CN96" s="2" t="n"/>
      <c r="CO96" s="2" t="n"/>
      <c r="CP96" s="2" t="n"/>
      <c r="CQ96" s="2" t="n"/>
      <c r="CR96" s="2" t="n"/>
      <c r="CS96" s="2" t="n"/>
      <c r="CT96" s="2" t="n"/>
      <c r="CU96" s="2" t="n"/>
      <c r="CV96" s="2" t="n"/>
      <c r="CW96" s="2" t="n"/>
      <c r="CX96" s="2" t="n"/>
      <c r="CY96" s="2" t="n"/>
      <c r="CZ96" s="2" t="n"/>
      <c r="DA96" s="2" t="n"/>
      <c r="DB96" s="2" t="n"/>
      <c r="DC96" s="2" t="n"/>
      <c r="DD96" s="2" t="n"/>
      <c r="DE96" s="2" t="n"/>
      <c r="DF96" s="2" t="n"/>
      <c r="DG96" s="2" t="n"/>
      <c r="DH96" s="2" t="n"/>
    </row>
    <row r="97" ht="45" customFormat="1" customHeight="1" s="76">
      <c r="A97" s="34" t="n"/>
      <c r="B97" s="34" t="n"/>
      <c r="C97" s="45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  <c r="AB97" s="36" t="n"/>
      <c r="AC97" s="36" t="n"/>
      <c r="AD97" s="36" t="n"/>
      <c r="AE97" s="36" t="n"/>
      <c r="AF97" s="36" t="n"/>
      <c r="AG97" s="36" t="n"/>
      <c r="AH97" s="36" t="n"/>
      <c r="AI97" s="36" t="n"/>
      <c r="AJ97" s="36" t="n"/>
      <c r="AK97" s="36" t="n"/>
      <c r="AL97" s="36" t="n"/>
      <c r="AM97" s="36" t="n"/>
      <c r="AN97" s="36" t="n"/>
      <c r="AO97" s="36" t="n"/>
      <c r="AP97" s="36" t="n"/>
      <c r="AQ97" s="36" t="n"/>
      <c r="AR97" s="36" t="n"/>
      <c r="AS97" s="36" t="n"/>
      <c r="AT97" s="36" t="n"/>
      <c r="AU97" s="36" t="n"/>
      <c r="AV97" s="36" t="n"/>
      <c r="AW97" s="36" t="n"/>
      <c r="AX97" s="36" t="n"/>
      <c r="AY97" s="36" t="n"/>
      <c r="AZ97" s="36" t="n"/>
      <c r="BA97" s="36" t="n"/>
      <c r="BB97" s="36" t="n"/>
      <c r="BC97" s="36" t="n"/>
      <c r="BD97" s="36" t="n"/>
      <c r="BE97" s="36" t="n"/>
      <c r="BF97" s="36" t="n"/>
      <c r="BG97" s="36" t="n"/>
      <c r="BH97" s="36" t="n"/>
      <c r="BI97" s="36" t="n"/>
      <c r="BJ97" s="36" t="n"/>
      <c r="BK97" s="36" t="n"/>
      <c r="BL97" s="36" t="n"/>
      <c r="BM97" s="36" t="n"/>
      <c r="BN97" s="36" t="n"/>
      <c r="BO97" s="36" t="n"/>
      <c r="BP97" s="36" t="n"/>
      <c r="BQ97" s="36" t="n"/>
      <c r="BR97" s="36" t="n"/>
      <c r="BS97" s="36" t="n"/>
      <c r="BT97" s="36" t="n"/>
      <c r="BU97" s="36" t="n"/>
      <c r="BV97" s="36" t="n"/>
      <c r="BW97" s="36" t="n"/>
      <c r="BX97" s="36" t="n"/>
      <c r="BY97" s="36" t="n"/>
      <c r="BZ97" s="36" t="n"/>
      <c r="CA97" s="36" t="n"/>
      <c r="CB97" s="36" t="n"/>
      <c r="CC97" s="36" t="n"/>
      <c r="CD97" s="36" t="n"/>
      <c r="CE97" s="36" t="n"/>
      <c r="CF97" s="36" t="n"/>
      <c r="CG97" s="36" t="n"/>
      <c r="CH97" s="36" t="n"/>
      <c r="CI97" s="36" t="n"/>
      <c r="CJ97" s="36" t="n"/>
      <c r="CK97" s="36" t="n"/>
      <c r="CL97" s="36" t="n"/>
      <c r="CM97" s="36" t="n"/>
      <c r="CN97" s="2" t="n"/>
      <c r="CO97" s="2" t="n"/>
      <c r="CP97" s="2" t="n"/>
      <c r="CQ97" s="2" t="n"/>
      <c r="CR97" s="2" t="n"/>
      <c r="CS97" s="2" t="n"/>
      <c r="CT97" s="2" t="n"/>
      <c r="CU97" s="2" t="n"/>
      <c r="CV97" s="2" t="n"/>
      <c r="CW97" s="2" t="n"/>
      <c r="CX97" s="2" t="n"/>
      <c r="CY97" s="2" t="n"/>
      <c r="CZ97" s="2" t="n"/>
      <c r="DA97" s="2" t="n"/>
      <c r="DB97" s="2" t="n"/>
      <c r="DC97" s="2" t="n"/>
      <c r="DD97" s="2" t="n"/>
      <c r="DE97" s="2" t="n"/>
      <c r="DF97" s="2" t="n"/>
      <c r="DG97" s="2" t="n"/>
      <c r="DH97" s="2" t="n"/>
    </row>
    <row r="98" ht="45" customFormat="1" customHeight="1" s="76">
      <c r="A98" s="34" t="n"/>
      <c r="B98" s="34" t="n"/>
      <c r="C98" s="45" t="n"/>
      <c r="D98" s="36" t="n"/>
      <c r="E98" s="36" t="n"/>
      <c r="F98" s="36" t="n"/>
      <c r="G98" s="36" t="n"/>
      <c r="H98" s="36" t="n"/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6" t="n"/>
      <c r="T98" s="36" t="n"/>
      <c r="U98" s="36" t="n"/>
      <c r="V98" s="36" t="n"/>
      <c r="W98" s="36" t="n"/>
      <c r="X98" s="36" t="n"/>
      <c r="Y98" s="36" t="n"/>
      <c r="Z98" s="36" t="n"/>
      <c r="AA98" s="36" t="n"/>
      <c r="AB98" s="36" t="n"/>
      <c r="AC98" s="36" t="n"/>
      <c r="AD98" s="36" t="n"/>
      <c r="AE98" s="36" t="n"/>
      <c r="AF98" s="36" t="n"/>
      <c r="AG98" s="36" t="n"/>
      <c r="AH98" s="36" t="n"/>
      <c r="AI98" s="36" t="n"/>
      <c r="AJ98" s="36" t="n"/>
      <c r="AK98" s="36" t="n"/>
      <c r="AL98" s="36" t="n"/>
      <c r="AM98" s="36" t="n"/>
      <c r="AN98" s="36" t="n"/>
      <c r="AO98" s="36" t="n"/>
      <c r="AP98" s="36" t="n"/>
      <c r="AQ98" s="36" t="n"/>
      <c r="AR98" s="36" t="n"/>
      <c r="AS98" s="36" t="n"/>
      <c r="AT98" s="36" t="n"/>
      <c r="AU98" s="36" t="n"/>
      <c r="AV98" s="36" t="n"/>
      <c r="AW98" s="36" t="n"/>
      <c r="AX98" s="36" t="n"/>
      <c r="AY98" s="36" t="n"/>
      <c r="AZ98" s="36" t="n"/>
      <c r="BA98" s="36" t="n"/>
      <c r="BB98" s="36" t="n"/>
      <c r="BC98" s="36" t="n"/>
      <c r="BD98" s="36" t="n"/>
      <c r="BE98" s="36" t="n"/>
      <c r="BF98" s="36" t="n"/>
      <c r="BG98" s="36" t="n"/>
      <c r="BH98" s="36" t="n"/>
      <c r="BI98" s="36" t="n"/>
      <c r="BJ98" s="36" t="n"/>
      <c r="BK98" s="36" t="n"/>
      <c r="BL98" s="36" t="n"/>
      <c r="BM98" s="36" t="n"/>
      <c r="BN98" s="36" t="n"/>
      <c r="BO98" s="36" t="n"/>
      <c r="BP98" s="36" t="n"/>
      <c r="BQ98" s="36" t="n"/>
      <c r="BR98" s="36" t="n"/>
      <c r="BS98" s="36" t="n"/>
      <c r="BT98" s="36" t="n"/>
      <c r="BU98" s="36" t="n"/>
      <c r="BV98" s="36" t="n"/>
      <c r="BW98" s="36" t="n"/>
      <c r="BX98" s="36" t="n"/>
      <c r="BY98" s="36" t="n"/>
      <c r="BZ98" s="36" t="n"/>
      <c r="CA98" s="36" t="n"/>
      <c r="CB98" s="36" t="n"/>
      <c r="CC98" s="36" t="n"/>
      <c r="CD98" s="36" t="n"/>
      <c r="CE98" s="36" t="n"/>
      <c r="CF98" s="36" t="n"/>
      <c r="CG98" s="36" t="n"/>
      <c r="CH98" s="36" t="n"/>
      <c r="CI98" s="36" t="n"/>
      <c r="CJ98" s="36" t="n"/>
      <c r="CK98" s="36" t="n"/>
      <c r="CL98" s="36" t="n"/>
      <c r="CM98" s="36" t="n"/>
      <c r="CN98" s="2" t="n"/>
      <c r="CO98" s="2" t="n"/>
      <c r="CP98" s="2" t="n"/>
      <c r="CQ98" s="2" t="n"/>
      <c r="CR98" s="2" t="n"/>
      <c r="CS98" s="2" t="n"/>
      <c r="CT98" s="2" t="n"/>
      <c r="CU98" s="2" t="n"/>
      <c r="CV98" s="2" t="n"/>
      <c r="CW98" s="2" t="n"/>
      <c r="CX98" s="2" t="n"/>
      <c r="CY98" s="2" t="n"/>
      <c r="CZ98" s="2" t="n"/>
      <c r="DA98" s="2" t="n"/>
      <c r="DB98" s="2" t="n"/>
      <c r="DC98" s="2" t="n"/>
      <c r="DD98" s="2" t="n"/>
      <c r="DE98" s="2" t="n"/>
      <c r="DF98" s="2" t="n"/>
      <c r="DG98" s="2" t="n"/>
      <c r="DH98" s="2" t="n"/>
    </row>
    <row r="99" ht="45" customFormat="1" customHeight="1" s="76">
      <c r="A99" s="34" t="n"/>
      <c r="B99" s="34" t="n"/>
      <c r="C99" s="45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  <c r="AB99" s="36" t="n"/>
      <c r="AC99" s="36" t="n"/>
      <c r="AD99" s="36" t="n"/>
      <c r="AE99" s="36" t="n"/>
      <c r="AF99" s="36" t="n"/>
      <c r="AG99" s="36" t="n"/>
      <c r="AH99" s="36" t="n"/>
      <c r="AI99" s="36" t="n"/>
      <c r="AJ99" s="36" t="n"/>
      <c r="AK99" s="36" t="n"/>
      <c r="AL99" s="36" t="n"/>
      <c r="AM99" s="36" t="n"/>
      <c r="AN99" s="36" t="n"/>
      <c r="AO99" s="36" t="n"/>
      <c r="AP99" s="36" t="n"/>
      <c r="AQ99" s="36" t="n"/>
      <c r="AR99" s="36" t="n"/>
      <c r="AS99" s="36" t="n"/>
      <c r="AT99" s="36" t="n"/>
      <c r="AU99" s="36" t="n"/>
      <c r="AV99" s="36" t="n"/>
      <c r="AW99" s="36" t="n"/>
      <c r="AX99" s="36" t="n"/>
      <c r="AY99" s="36" t="n"/>
      <c r="AZ99" s="36" t="n"/>
      <c r="BA99" s="36" t="n"/>
      <c r="BB99" s="36" t="n"/>
      <c r="BC99" s="36" t="n"/>
      <c r="BD99" s="36" t="n"/>
      <c r="BE99" s="36" t="n"/>
      <c r="BF99" s="36" t="n"/>
      <c r="BG99" s="36" t="n"/>
      <c r="BH99" s="36" t="n"/>
      <c r="BI99" s="36" t="n"/>
      <c r="BJ99" s="36" t="n"/>
      <c r="BK99" s="36" t="n"/>
      <c r="BL99" s="36" t="n"/>
      <c r="BM99" s="36" t="n"/>
      <c r="BN99" s="36" t="n"/>
      <c r="BO99" s="36" t="n"/>
      <c r="BP99" s="36" t="n"/>
      <c r="BQ99" s="36" t="n"/>
      <c r="BR99" s="36" t="n"/>
      <c r="BS99" s="36" t="n"/>
      <c r="BT99" s="36" t="n"/>
      <c r="BU99" s="36" t="n"/>
      <c r="BV99" s="36" t="n"/>
      <c r="BW99" s="36" t="n"/>
      <c r="BX99" s="36" t="n"/>
      <c r="BY99" s="36" t="n"/>
      <c r="BZ99" s="36" t="n"/>
      <c r="CA99" s="36" t="n"/>
      <c r="CB99" s="36" t="n"/>
      <c r="CC99" s="36" t="n"/>
      <c r="CD99" s="36" t="n"/>
      <c r="CE99" s="36" t="n"/>
      <c r="CF99" s="36" t="n"/>
      <c r="CG99" s="36" t="n"/>
      <c r="CH99" s="36" t="n"/>
      <c r="CI99" s="36" t="n"/>
      <c r="CJ99" s="36" t="n"/>
      <c r="CK99" s="36" t="n"/>
      <c r="CL99" s="36" t="n"/>
      <c r="CM99" s="36" t="n"/>
      <c r="CN99" s="2" t="n"/>
      <c r="CO99" s="2" t="n"/>
      <c r="CP99" s="2" t="n"/>
      <c r="CQ99" s="2" t="n"/>
      <c r="CR99" s="2" t="n"/>
      <c r="CS99" s="2" t="n"/>
      <c r="CT99" s="2" t="n"/>
      <c r="CU99" s="2" t="n"/>
      <c r="CV99" s="2" t="n"/>
      <c r="CW99" s="2" t="n"/>
      <c r="CX99" s="2" t="n"/>
      <c r="CY99" s="2" t="n"/>
      <c r="CZ99" s="2" t="n"/>
      <c r="DA99" s="2" t="n"/>
      <c r="DB99" s="2" t="n"/>
      <c r="DC99" s="2" t="n"/>
      <c r="DD99" s="2" t="n"/>
      <c r="DE99" s="2" t="n"/>
      <c r="DF99" s="2" t="n"/>
      <c r="DG99" s="2" t="n"/>
      <c r="DH99" s="2" t="n"/>
    </row>
    <row r="100" ht="45" customFormat="1" customHeight="1" s="76">
      <c r="A100" s="34" t="n"/>
      <c r="B100" s="34" t="n"/>
      <c r="C100" s="45" t="n"/>
      <c r="D100" s="36" t="n"/>
      <c r="E100" s="36" t="n"/>
      <c r="F100" s="36" t="n"/>
      <c r="G100" s="36" t="n"/>
      <c r="H100" s="36" t="n"/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  <c r="AB100" s="36" t="n"/>
      <c r="AC100" s="36" t="n"/>
      <c r="AD100" s="36" t="n"/>
      <c r="AE100" s="36" t="n"/>
      <c r="AF100" s="36" t="n"/>
      <c r="AG100" s="36" t="n"/>
      <c r="AH100" s="36" t="n"/>
      <c r="AI100" s="36" t="n"/>
      <c r="AJ100" s="36" t="n"/>
      <c r="AK100" s="36" t="n"/>
      <c r="AL100" s="36" t="n"/>
      <c r="AM100" s="36" t="n"/>
      <c r="AN100" s="36" t="n"/>
      <c r="AO100" s="36" t="n"/>
      <c r="AP100" s="36" t="n"/>
      <c r="AQ100" s="36" t="n"/>
      <c r="AR100" s="36" t="n"/>
      <c r="AS100" s="36" t="n"/>
      <c r="AT100" s="36" t="n"/>
      <c r="AU100" s="36" t="n"/>
      <c r="AV100" s="36" t="n"/>
      <c r="AW100" s="36" t="n"/>
      <c r="AX100" s="36" t="n"/>
      <c r="AY100" s="36" t="n"/>
      <c r="AZ100" s="36" t="n"/>
      <c r="BA100" s="36" t="n"/>
      <c r="BB100" s="36" t="n"/>
      <c r="BC100" s="36" t="n"/>
      <c r="BD100" s="36" t="n"/>
      <c r="BE100" s="36" t="n"/>
      <c r="BF100" s="36" t="n"/>
      <c r="BG100" s="36" t="n"/>
      <c r="BH100" s="36" t="n"/>
      <c r="BI100" s="36" t="n"/>
      <c r="BJ100" s="36" t="n"/>
      <c r="BK100" s="36" t="n"/>
      <c r="BL100" s="36" t="n"/>
      <c r="BM100" s="36" t="n"/>
      <c r="BN100" s="36" t="n"/>
      <c r="BO100" s="36" t="n"/>
      <c r="BP100" s="36" t="n"/>
      <c r="BQ100" s="36" t="n"/>
      <c r="BR100" s="36" t="n"/>
      <c r="BS100" s="36" t="n"/>
      <c r="BT100" s="36" t="n"/>
      <c r="BU100" s="36" t="n"/>
      <c r="BV100" s="36" t="n"/>
      <c r="BW100" s="36" t="n"/>
      <c r="BX100" s="36" t="n"/>
      <c r="BY100" s="36" t="n"/>
      <c r="BZ100" s="36" t="n"/>
      <c r="CA100" s="36" t="n"/>
      <c r="CB100" s="36" t="n"/>
      <c r="CC100" s="36" t="n"/>
      <c r="CD100" s="36" t="n"/>
      <c r="CE100" s="36" t="n"/>
      <c r="CF100" s="36" t="n"/>
      <c r="CG100" s="36" t="n"/>
      <c r="CH100" s="36" t="n"/>
      <c r="CI100" s="36" t="n"/>
      <c r="CJ100" s="36" t="n"/>
      <c r="CK100" s="36" t="n"/>
      <c r="CL100" s="36" t="n"/>
      <c r="CM100" s="36" t="n"/>
      <c r="CN100" s="2" t="n"/>
      <c r="CO100" s="2" t="n"/>
      <c r="CP100" s="2" t="n"/>
      <c r="CQ100" s="2" t="n"/>
      <c r="CR100" s="2" t="n"/>
      <c r="CS100" s="2" t="n"/>
      <c r="CT100" s="2" t="n"/>
      <c r="CU100" s="2" t="n"/>
      <c r="CV100" s="2" t="n"/>
      <c r="CW100" s="2" t="n"/>
      <c r="CX100" s="2" t="n"/>
      <c r="CY100" s="2" t="n"/>
      <c r="CZ100" s="2" t="n"/>
      <c r="DA100" s="2" t="n"/>
      <c r="DB100" s="2" t="n"/>
      <c r="DC100" s="2" t="n"/>
      <c r="DD100" s="2" t="n"/>
      <c r="DE100" s="2" t="n"/>
      <c r="DF100" s="2" t="n"/>
      <c r="DG100" s="2" t="n"/>
      <c r="DH100" s="2" t="n"/>
    </row>
    <row r="101" ht="45" customFormat="1" customHeight="1" s="76">
      <c r="A101" s="34" t="n"/>
      <c r="B101" s="34" t="n"/>
      <c r="C101" s="45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  <c r="AB101" s="36" t="n"/>
      <c r="AC101" s="36" t="n"/>
      <c r="AD101" s="36" t="n"/>
      <c r="AE101" s="36" t="n"/>
      <c r="AF101" s="36" t="n"/>
      <c r="AG101" s="36" t="n"/>
      <c r="AH101" s="36" t="n"/>
      <c r="AI101" s="36" t="n"/>
      <c r="AJ101" s="36" t="n"/>
      <c r="AK101" s="36" t="n"/>
      <c r="AL101" s="36" t="n"/>
      <c r="AM101" s="36" t="n"/>
      <c r="AN101" s="36" t="n"/>
      <c r="AO101" s="36" t="n"/>
      <c r="AP101" s="36" t="n"/>
      <c r="AQ101" s="36" t="n"/>
      <c r="AR101" s="36" t="n"/>
      <c r="AS101" s="36" t="n"/>
      <c r="AT101" s="36" t="n"/>
      <c r="AU101" s="36" t="n"/>
      <c r="AV101" s="36" t="n"/>
      <c r="AW101" s="36" t="n"/>
      <c r="AX101" s="36" t="n"/>
      <c r="AY101" s="36" t="n"/>
      <c r="AZ101" s="36" t="n"/>
      <c r="BA101" s="36" t="n"/>
      <c r="BB101" s="36" t="n"/>
      <c r="BC101" s="36" t="n"/>
      <c r="BD101" s="36" t="n"/>
      <c r="BE101" s="36" t="n"/>
      <c r="BF101" s="36" t="n"/>
      <c r="BG101" s="36" t="n"/>
      <c r="BH101" s="36" t="n"/>
      <c r="BI101" s="36" t="n"/>
      <c r="BJ101" s="36" t="n"/>
      <c r="BK101" s="36" t="n"/>
      <c r="BL101" s="36" t="n"/>
      <c r="BM101" s="36" t="n"/>
      <c r="BN101" s="36" t="n"/>
      <c r="BO101" s="36" t="n"/>
      <c r="BP101" s="36" t="n"/>
      <c r="BQ101" s="36" t="n"/>
      <c r="BR101" s="36" t="n"/>
      <c r="BS101" s="36" t="n"/>
      <c r="BT101" s="36" t="n"/>
      <c r="BU101" s="36" t="n"/>
      <c r="BV101" s="36" t="n"/>
      <c r="BW101" s="36" t="n"/>
      <c r="BX101" s="36" t="n"/>
      <c r="BY101" s="36" t="n"/>
      <c r="BZ101" s="36" t="n"/>
      <c r="CA101" s="36" t="n"/>
      <c r="CB101" s="36" t="n"/>
      <c r="CC101" s="36" t="n"/>
      <c r="CD101" s="36" t="n"/>
      <c r="CE101" s="36" t="n"/>
      <c r="CF101" s="36" t="n"/>
      <c r="CG101" s="36" t="n"/>
      <c r="CH101" s="36" t="n"/>
      <c r="CI101" s="36" t="n"/>
      <c r="CJ101" s="36" t="n"/>
      <c r="CK101" s="36" t="n"/>
      <c r="CL101" s="36" t="n"/>
      <c r="CM101" s="36" t="n"/>
      <c r="CN101" s="2" t="n"/>
      <c r="CO101" s="2" t="n"/>
      <c r="CP101" s="2" t="n"/>
      <c r="CQ101" s="2" t="n"/>
      <c r="CR101" s="2" t="n"/>
      <c r="CS101" s="2" t="n"/>
      <c r="CT101" s="2" t="n"/>
      <c r="CU101" s="2" t="n"/>
      <c r="CV101" s="2" t="n"/>
      <c r="CW101" s="2" t="n"/>
      <c r="CX101" s="2" t="n"/>
      <c r="CY101" s="2" t="n"/>
      <c r="CZ101" s="2" t="n"/>
      <c r="DA101" s="2" t="n"/>
      <c r="DB101" s="2" t="n"/>
      <c r="DC101" s="2" t="n"/>
      <c r="DD101" s="2" t="n"/>
      <c r="DE101" s="2" t="n"/>
      <c r="DF101" s="2" t="n"/>
      <c r="DG101" s="2" t="n"/>
      <c r="DH101" s="2" t="n"/>
    </row>
    <row r="102" ht="27.95" customFormat="1" customHeight="1" s="76">
      <c r="A102" s="34" t="n"/>
      <c r="B102" s="35" t="n"/>
      <c r="C102" s="46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  <c r="O102" s="39" t="n"/>
      <c r="P102" s="39" t="n"/>
      <c r="Q102" s="39" t="n"/>
      <c r="R102" s="39" t="n"/>
      <c r="S102" s="39" t="n"/>
      <c r="T102" s="39" t="n"/>
      <c r="U102" s="39" t="n"/>
      <c r="V102" s="39" t="n"/>
      <c r="W102" s="39" t="n"/>
      <c r="X102" s="39" t="n"/>
      <c r="Y102" s="39" t="n"/>
      <c r="Z102" s="39" t="n"/>
      <c r="AA102" s="39" t="n"/>
      <c r="AB102" s="39" t="n"/>
      <c r="AC102" s="39" t="n"/>
      <c r="AD102" s="39" t="n"/>
      <c r="AE102" s="39" t="n"/>
      <c r="AF102" s="39" t="n"/>
      <c r="AG102" s="39" t="n"/>
      <c r="AH102" s="39" t="n"/>
      <c r="AI102" s="39" t="n"/>
      <c r="AJ102" s="39" t="n"/>
      <c r="AK102" s="39" t="n"/>
      <c r="AL102" s="39" t="n"/>
      <c r="AM102" s="39" t="n"/>
      <c r="AN102" s="39" t="n"/>
      <c r="AO102" s="39" t="n"/>
      <c r="AP102" s="39" t="n"/>
      <c r="AQ102" s="39" t="n"/>
      <c r="AR102" s="39" t="n"/>
      <c r="AS102" s="39" t="n"/>
      <c r="AT102" s="39" t="n"/>
      <c r="AU102" s="39" t="n"/>
      <c r="AV102" s="39" t="n"/>
      <c r="AW102" s="39" t="n"/>
      <c r="AX102" s="39" t="n"/>
      <c r="AY102" s="39" t="n"/>
      <c r="AZ102" s="39" t="n"/>
      <c r="BA102" s="39" t="n"/>
      <c r="BB102" s="39" t="n"/>
      <c r="BC102" s="39" t="n"/>
      <c r="BD102" s="39" t="n"/>
      <c r="BE102" s="39" t="n"/>
      <c r="BF102" s="39" t="n"/>
      <c r="BG102" s="39" t="n"/>
      <c r="BH102" s="39" t="n"/>
      <c r="BI102" s="39" t="n"/>
      <c r="BJ102" s="39" t="n"/>
      <c r="BK102" s="39" t="n"/>
      <c r="BL102" s="39" t="n"/>
      <c r="BM102" s="39" t="n"/>
      <c r="BN102" s="39" t="n"/>
      <c r="BO102" s="39" t="n"/>
      <c r="BP102" s="39" t="n"/>
      <c r="BQ102" s="39" t="n"/>
      <c r="BR102" s="39" t="n"/>
      <c r="BS102" s="39" t="n"/>
      <c r="BT102" s="39" t="n"/>
      <c r="BU102" s="39" t="n"/>
      <c r="BV102" s="39" t="n"/>
      <c r="BW102" s="39" t="n"/>
      <c r="BX102" s="39" t="n"/>
      <c r="BY102" s="39" t="n"/>
      <c r="BZ102" s="39" t="n"/>
      <c r="CA102" s="39" t="n"/>
      <c r="CB102" s="39" t="n"/>
      <c r="CC102" s="39" t="n"/>
      <c r="CD102" s="39" t="n"/>
      <c r="CE102" s="39" t="n"/>
      <c r="CF102" s="39" t="n"/>
      <c r="CG102" s="39" t="n"/>
      <c r="CH102" s="39" t="n"/>
      <c r="CI102" s="39" t="n"/>
      <c r="CJ102" s="39" t="n"/>
      <c r="CK102" s="39" t="n"/>
      <c r="CL102" s="39" t="n"/>
      <c r="CM102" s="39" t="n"/>
      <c r="CN102" s="2" t="n"/>
      <c r="CO102" s="2" t="n"/>
      <c r="CP102" s="2" t="n"/>
      <c r="CQ102" s="2" t="n"/>
      <c r="CR102" s="2" t="n"/>
      <c r="CS102" s="2" t="n"/>
      <c r="CT102" s="2" t="n"/>
      <c r="CU102" s="2" t="n"/>
      <c r="CV102" s="2" t="n"/>
      <c r="CW102" s="2" t="n"/>
      <c r="CX102" s="2" t="n"/>
      <c r="CY102" s="2" t="n"/>
      <c r="CZ102" s="2" t="n"/>
      <c r="DA102" s="2" t="n"/>
      <c r="DB102" s="2" t="n"/>
      <c r="DC102" s="2" t="n"/>
      <c r="DD102" s="2" t="n"/>
      <c r="DE102" s="2" t="n"/>
      <c r="DF102" s="2" t="n"/>
      <c r="DG102" s="2" t="n"/>
      <c r="DH102" s="2" t="n"/>
    </row>
    <row r="103" ht="45" customFormat="1" customHeight="1" s="76">
      <c r="A103" s="35" t="n"/>
      <c r="B103" s="34" t="n"/>
      <c r="C103" s="45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  <c r="AB103" s="36" t="n"/>
      <c r="AC103" s="36" t="n"/>
      <c r="AD103" s="36" t="n"/>
      <c r="AE103" s="36" t="n"/>
      <c r="AF103" s="36" t="n"/>
      <c r="AG103" s="36" t="n"/>
      <c r="AH103" s="36" t="n"/>
      <c r="AI103" s="36" t="n"/>
      <c r="AJ103" s="36" t="n"/>
      <c r="AK103" s="36" t="n"/>
      <c r="AL103" s="36" t="n"/>
      <c r="AM103" s="36" t="n"/>
      <c r="AN103" s="36" t="n"/>
      <c r="AO103" s="36" t="n"/>
      <c r="AP103" s="36" t="n"/>
      <c r="AQ103" s="36" t="n"/>
      <c r="AR103" s="36" t="n"/>
      <c r="AS103" s="36" t="n"/>
      <c r="AT103" s="36" t="n"/>
      <c r="AU103" s="36" t="n"/>
      <c r="AV103" s="36" t="n"/>
      <c r="AW103" s="36" t="n"/>
      <c r="AX103" s="36" t="n"/>
      <c r="AY103" s="36" t="n"/>
      <c r="AZ103" s="36" t="n"/>
      <c r="BA103" s="36" t="n"/>
      <c r="BB103" s="36" t="n"/>
      <c r="BC103" s="36" t="n"/>
      <c r="BD103" s="36" t="n"/>
      <c r="BE103" s="36" t="n"/>
      <c r="BF103" s="36" t="n"/>
      <c r="BG103" s="36" t="n"/>
      <c r="BH103" s="36" t="n"/>
      <c r="BI103" s="36" t="n"/>
      <c r="BJ103" s="36" t="n"/>
      <c r="BK103" s="36" t="n"/>
      <c r="BL103" s="36" t="n"/>
      <c r="BM103" s="36" t="n"/>
      <c r="BN103" s="36" t="n"/>
      <c r="BO103" s="36" t="n"/>
      <c r="BP103" s="36" t="n"/>
      <c r="BQ103" s="36" t="n"/>
      <c r="BR103" s="36" t="n"/>
      <c r="BS103" s="36" t="n"/>
      <c r="BT103" s="36" t="n"/>
      <c r="BU103" s="36" t="n"/>
      <c r="BV103" s="36" t="n"/>
      <c r="BW103" s="36" t="n"/>
      <c r="BX103" s="36" t="n"/>
      <c r="BY103" s="36" t="n"/>
      <c r="BZ103" s="36" t="n"/>
      <c r="CA103" s="36" t="n"/>
      <c r="CB103" s="36" t="n"/>
      <c r="CC103" s="36" t="n"/>
      <c r="CD103" s="36" t="n"/>
      <c r="CE103" s="36" t="n"/>
      <c r="CF103" s="36" t="n"/>
      <c r="CG103" s="36" t="n"/>
      <c r="CH103" s="36" t="n"/>
      <c r="CI103" s="36" t="n"/>
      <c r="CJ103" s="36" t="n"/>
      <c r="CK103" s="36" t="n"/>
      <c r="CL103" s="36" t="n"/>
      <c r="CM103" s="36" t="n"/>
      <c r="CN103" s="2" t="n"/>
      <c r="CO103" s="2" t="n"/>
      <c r="CP103" s="2" t="n"/>
      <c r="CQ103" s="2" t="n"/>
      <c r="CR103" s="2" t="n"/>
      <c r="CS103" s="2" t="n"/>
      <c r="CT103" s="2" t="n"/>
      <c r="CU103" s="2" t="n"/>
      <c r="CV103" s="2" t="n"/>
      <c r="CW103" s="2" t="n"/>
      <c r="CX103" s="2" t="n"/>
      <c r="CY103" s="2" t="n"/>
      <c r="CZ103" s="2" t="n"/>
      <c r="DA103" s="2" t="n"/>
      <c r="DB103" s="2" t="n"/>
      <c r="DC103" s="2" t="n"/>
      <c r="DD103" s="2" t="n"/>
      <c r="DE103" s="2" t="n"/>
      <c r="DF103" s="2" t="n"/>
      <c r="DG103" s="2" t="n"/>
      <c r="DH103" s="2" t="n"/>
    </row>
    <row r="104" ht="45" customFormat="1" customHeight="1" s="76">
      <c r="A104" s="34" t="n"/>
      <c r="B104" s="34" t="n"/>
      <c r="C104" s="45" t="n"/>
      <c r="D104" s="36" t="n"/>
      <c r="E104" s="36" t="n"/>
      <c r="F104" s="36" t="n"/>
      <c r="G104" s="36" t="n"/>
      <c r="H104" s="36" t="n"/>
      <c r="I104" s="36" t="n"/>
      <c r="J104" s="36" t="n"/>
      <c r="K104" s="36" t="n"/>
      <c r="L104" s="36" t="n"/>
      <c r="M104" s="36" t="n"/>
      <c r="N104" s="36" t="n"/>
      <c r="O104" s="36" t="n"/>
      <c r="P104" s="36" t="n"/>
      <c r="Q104" s="36" t="n"/>
      <c r="R104" s="36" t="n"/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  <c r="AB104" s="36" t="n"/>
      <c r="AC104" s="36" t="n"/>
      <c r="AD104" s="36" t="n"/>
      <c r="AE104" s="36" t="n"/>
      <c r="AF104" s="36" t="n"/>
      <c r="AG104" s="36" t="n"/>
      <c r="AH104" s="36" t="n"/>
      <c r="AI104" s="36" t="n"/>
      <c r="AJ104" s="36" t="n"/>
      <c r="AK104" s="36" t="n"/>
      <c r="AL104" s="36" t="n"/>
      <c r="AM104" s="36" t="n"/>
      <c r="AN104" s="36" t="n"/>
      <c r="AO104" s="36" t="n"/>
      <c r="AP104" s="36" t="n"/>
      <c r="AQ104" s="36" t="n"/>
      <c r="AR104" s="36" t="n"/>
      <c r="AS104" s="36" t="n"/>
      <c r="AT104" s="36" t="n"/>
      <c r="AU104" s="36" t="n"/>
      <c r="AV104" s="36" t="n"/>
      <c r="AW104" s="36" t="n"/>
      <c r="AX104" s="36" t="n"/>
      <c r="AY104" s="36" t="n"/>
      <c r="AZ104" s="36" t="n"/>
      <c r="BA104" s="36" t="n"/>
      <c r="BB104" s="36" t="n"/>
      <c r="BC104" s="36" t="n"/>
      <c r="BD104" s="36" t="n"/>
      <c r="BE104" s="36" t="n"/>
      <c r="BF104" s="36" t="n"/>
      <c r="BG104" s="36" t="n"/>
      <c r="BH104" s="36" t="n"/>
      <c r="BI104" s="36" t="n"/>
      <c r="BJ104" s="36" t="n"/>
      <c r="BK104" s="36" t="n"/>
      <c r="BL104" s="36" t="n"/>
      <c r="BM104" s="36" t="n"/>
      <c r="BN104" s="36" t="n"/>
      <c r="BO104" s="36" t="n"/>
      <c r="BP104" s="36" t="n"/>
      <c r="BQ104" s="36" t="n"/>
      <c r="BR104" s="36" t="n"/>
      <c r="BS104" s="36" t="n"/>
      <c r="BT104" s="36" t="n"/>
      <c r="BU104" s="36" t="n"/>
      <c r="BV104" s="36" t="n"/>
      <c r="BW104" s="36" t="n"/>
      <c r="BX104" s="36" t="n"/>
      <c r="BY104" s="36" t="n"/>
      <c r="BZ104" s="36" t="n"/>
      <c r="CA104" s="36" t="n"/>
      <c r="CB104" s="36" t="n"/>
      <c r="CC104" s="36" t="n"/>
      <c r="CD104" s="36" t="n"/>
      <c r="CE104" s="36" t="n"/>
      <c r="CF104" s="36" t="n"/>
      <c r="CG104" s="36" t="n"/>
      <c r="CH104" s="36" t="n"/>
      <c r="CI104" s="36" t="n"/>
      <c r="CJ104" s="36" t="n"/>
      <c r="CK104" s="36" t="n"/>
      <c r="CL104" s="36" t="n"/>
      <c r="CM104" s="36" t="n"/>
      <c r="CN104" s="2" t="n"/>
      <c r="CO104" s="2" t="n"/>
      <c r="CP104" s="2" t="n"/>
      <c r="CQ104" s="2" t="n"/>
      <c r="CR104" s="2" t="n"/>
      <c r="CS104" s="2" t="n"/>
      <c r="CT104" s="2" t="n"/>
      <c r="CU104" s="2" t="n"/>
      <c r="CV104" s="2" t="n"/>
      <c r="CW104" s="2" t="n"/>
      <c r="CX104" s="2" t="n"/>
      <c r="CY104" s="2" t="n"/>
      <c r="CZ104" s="2" t="n"/>
      <c r="DA104" s="2" t="n"/>
      <c r="DB104" s="2" t="n"/>
      <c r="DC104" s="2" t="n"/>
      <c r="DD104" s="2" t="n"/>
      <c r="DE104" s="2" t="n"/>
      <c r="DF104" s="2" t="n"/>
      <c r="DG104" s="2" t="n"/>
      <c r="DH104" s="2" t="n"/>
    </row>
    <row r="105" ht="45" customFormat="1" customHeight="1" s="76">
      <c r="A105" s="34" t="n"/>
      <c r="B105" s="34" t="n"/>
      <c r="C105" s="45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  <c r="AB105" s="36" t="n"/>
      <c r="AC105" s="36" t="n"/>
      <c r="AD105" s="36" t="n"/>
      <c r="AE105" s="36" t="n"/>
      <c r="AF105" s="36" t="n"/>
      <c r="AG105" s="36" t="n"/>
      <c r="AH105" s="36" t="n"/>
      <c r="AI105" s="36" t="n"/>
      <c r="AJ105" s="36" t="n"/>
      <c r="AK105" s="36" t="n"/>
      <c r="AL105" s="36" t="n"/>
      <c r="AM105" s="36" t="n"/>
      <c r="AN105" s="36" t="n"/>
      <c r="AO105" s="36" t="n"/>
      <c r="AP105" s="36" t="n"/>
      <c r="AQ105" s="36" t="n"/>
      <c r="AR105" s="36" t="n"/>
      <c r="AS105" s="36" t="n"/>
      <c r="AT105" s="36" t="n"/>
      <c r="AU105" s="36" t="n"/>
      <c r="AV105" s="36" t="n"/>
      <c r="AW105" s="36" t="n"/>
      <c r="AX105" s="36" t="n"/>
      <c r="AY105" s="36" t="n"/>
      <c r="AZ105" s="36" t="n"/>
      <c r="BA105" s="36" t="n"/>
      <c r="BB105" s="36" t="n"/>
      <c r="BC105" s="36" t="n"/>
      <c r="BD105" s="36" t="n"/>
      <c r="BE105" s="36" t="n"/>
      <c r="BF105" s="36" t="n"/>
      <c r="BG105" s="36" t="n"/>
      <c r="BH105" s="36" t="n"/>
      <c r="BI105" s="36" t="n"/>
      <c r="BJ105" s="36" t="n"/>
      <c r="BK105" s="36" t="n"/>
      <c r="BL105" s="36" t="n"/>
      <c r="BM105" s="36" t="n"/>
      <c r="BN105" s="36" t="n"/>
      <c r="BO105" s="36" t="n"/>
      <c r="BP105" s="36" t="n"/>
      <c r="BQ105" s="36" t="n"/>
      <c r="BR105" s="36" t="n"/>
      <c r="BS105" s="36" t="n"/>
      <c r="BT105" s="36" t="n"/>
      <c r="BU105" s="36" t="n"/>
      <c r="BV105" s="36" t="n"/>
      <c r="BW105" s="36" t="n"/>
      <c r="BX105" s="36" t="n"/>
      <c r="BY105" s="36" t="n"/>
      <c r="BZ105" s="36" t="n"/>
      <c r="CA105" s="36" t="n"/>
      <c r="CB105" s="36" t="n"/>
      <c r="CC105" s="36" t="n"/>
      <c r="CD105" s="36" t="n"/>
      <c r="CE105" s="36" t="n"/>
      <c r="CF105" s="36" t="n"/>
      <c r="CG105" s="36" t="n"/>
      <c r="CH105" s="36" t="n"/>
      <c r="CI105" s="36" t="n"/>
      <c r="CJ105" s="36" t="n"/>
      <c r="CK105" s="36" t="n"/>
      <c r="CL105" s="36" t="n"/>
      <c r="CM105" s="36" t="n"/>
      <c r="CN105" s="2" t="n"/>
      <c r="CO105" s="2" t="n"/>
      <c r="CP105" s="2" t="n"/>
      <c r="CQ105" s="2" t="n"/>
      <c r="CR105" s="2" t="n"/>
      <c r="CS105" s="2" t="n"/>
      <c r="CT105" s="2" t="n"/>
      <c r="CU105" s="2" t="n"/>
      <c r="CV105" s="2" t="n"/>
      <c r="CW105" s="2" t="n"/>
      <c r="CX105" s="2" t="n"/>
      <c r="CY105" s="2" t="n"/>
      <c r="CZ105" s="2" t="n"/>
      <c r="DA105" s="2" t="n"/>
      <c r="DB105" s="2" t="n"/>
      <c r="DC105" s="2" t="n"/>
      <c r="DD105" s="2" t="n"/>
      <c r="DE105" s="2" t="n"/>
      <c r="DF105" s="2" t="n"/>
      <c r="DG105" s="2" t="n"/>
      <c r="DH105" s="2" t="n"/>
    </row>
    <row r="106" ht="45" customFormat="1" customHeight="1" s="76">
      <c r="A106" s="34" t="n"/>
      <c r="B106" s="34" t="n"/>
      <c r="C106" s="45" t="n"/>
      <c r="D106" s="36" t="n"/>
      <c r="E106" s="36" t="n"/>
      <c r="F106" s="36" t="n"/>
      <c r="G106" s="36" t="n"/>
      <c r="H106" s="36" t="n"/>
      <c r="I106" s="36" t="n"/>
      <c r="J106" s="36" t="n"/>
      <c r="K106" s="36" t="n"/>
      <c r="L106" s="36" t="n"/>
      <c r="M106" s="36" t="n"/>
      <c r="N106" s="36" t="n"/>
      <c r="O106" s="36" t="n"/>
      <c r="P106" s="36" t="n"/>
      <c r="Q106" s="36" t="n"/>
      <c r="R106" s="36" t="n"/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  <c r="AB106" s="36" t="n"/>
      <c r="AC106" s="36" t="n"/>
      <c r="AD106" s="36" t="n"/>
      <c r="AE106" s="36" t="n"/>
      <c r="AF106" s="36" t="n"/>
      <c r="AG106" s="36" t="n"/>
      <c r="AH106" s="36" t="n"/>
      <c r="AI106" s="36" t="n"/>
      <c r="AJ106" s="36" t="n"/>
      <c r="AK106" s="36" t="n"/>
      <c r="AL106" s="36" t="n"/>
      <c r="AM106" s="36" t="n"/>
      <c r="AN106" s="36" t="n"/>
      <c r="AO106" s="36" t="n"/>
      <c r="AP106" s="36" t="n"/>
      <c r="AQ106" s="36" t="n"/>
      <c r="AR106" s="36" t="n"/>
      <c r="AS106" s="36" t="n"/>
      <c r="AT106" s="36" t="n"/>
      <c r="AU106" s="36" t="n"/>
      <c r="AV106" s="36" t="n"/>
      <c r="AW106" s="36" t="n"/>
      <c r="AX106" s="36" t="n"/>
      <c r="AY106" s="36" t="n"/>
      <c r="AZ106" s="36" t="n"/>
      <c r="BA106" s="36" t="n"/>
      <c r="BB106" s="36" t="n"/>
      <c r="BC106" s="36" t="n"/>
      <c r="BD106" s="36" t="n"/>
      <c r="BE106" s="36" t="n"/>
      <c r="BF106" s="36" t="n"/>
      <c r="BG106" s="36" t="n"/>
      <c r="BH106" s="36" t="n"/>
      <c r="BI106" s="36" t="n"/>
      <c r="BJ106" s="36" t="n"/>
      <c r="BK106" s="36" t="n"/>
      <c r="BL106" s="36" t="n"/>
      <c r="BM106" s="36" t="n"/>
      <c r="BN106" s="36" t="n"/>
      <c r="BO106" s="36" t="n"/>
      <c r="BP106" s="36" t="n"/>
      <c r="BQ106" s="36" t="n"/>
      <c r="BR106" s="36" t="n"/>
      <c r="BS106" s="36" t="n"/>
      <c r="BT106" s="36" t="n"/>
      <c r="BU106" s="36" t="n"/>
      <c r="BV106" s="36" t="n"/>
      <c r="BW106" s="36" t="n"/>
      <c r="BX106" s="36" t="n"/>
      <c r="BY106" s="36" t="n"/>
      <c r="BZ106" s="36" t="n"/>
      <c r="CA106" s="36" t="n"/>
      <c r="CB106" s="36" t="n"/>
      <c r="CC106" s="36" t="n"/>
      <c r="CD106" s="36" t="n"/>
      <c r="CE106" s="36" t="n"/>
      <c r="CF106" s="36" t="n"/>
      <c r="CG106" s="36" t="n"/>
      <c r="CH106" s="36" t="n"/>
      <c r="CI106" s="36" t="n"/>
      <c r="CJ106" s="36" t="n"/>
      <c r="CK106" s="36" t="n"/>
      <c r="CL106" s="36" t="n"/>
      <c r="CM106" s="36" t="n"/>
      <c r="CN106" s="2" t="n"/>
      <c r="CO106" s="2" t="n"/>
      <c r="CP106" s="2" t="n"/>
      <c r="CQ106" s="2" t="n"/>
      <c r="CR106" s="2" t="n"/>
      <c r="CS106" s="2" t="n"/>
      <c r="CT106" s="2" t="n"/>
      <c r="CU106" s="2" t="n"/>
      <c r="CV106" s="2" t="n"/>
      <c r="CW106" s="2" t="n"/>
      <c r="CX106" s="2" t="n"/>
      <c r="CY106" s="2" t="n"/>
      <c r="CZ106" s="2" t="n"/>
      <c r="DA106" s="2" t="n"/>
      <c r="DB106" s="2" t="n"/>
      <c r="DC106" s="2" t="n"/>
      <c r="DD106" s="2" t="n"/>
      <c r="DE106" s="2" t="n"/>
      <c r="DF106" s="2" t="n"/>
      <c r="DG106" s="2" t="n"/>
      <c r="DH106" s="2" t="n"/>
    </row>
    <row r="107" ht="45" customFormat="1" customHeight="1" s="76">
      <c r="A107" s="34" t="n"/>
      <c r="B107" s="34" t="n"/>
      <c r="C107" s="45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  <c r="V107" s="36" t="n"/>
      <c r="W107" s="36" t="n"/>
      <c r="X107" s="36" t="n"/>
      <c r="Y107" s="36" t="n"/>
      <c r="Z107" s="36" t="n"/>
      <c r="AA107" s="36" t="n"/>
      <c r="AB107" s="36" t="n"/>
      <c r="AC107" s="36" t="n"/>
      <c r="AD107" s="36" t="n"/>
      <c r="AE107" s="36" t="n"/>
      <c r="AF107" s="36" t="n"/>
      <c r="AG107" s="36" t="n"/>
      <c r="AH107" s="36" t="n"/>
      <c r="AI107" s="36" t="n"/>
      <c r="AJ107" s="36" t="n"/>
      <c r="AK107" s="36" t="n"/>
      <c r="AL107" s="36" t="n"/>
      <c r="AM107" s="36" t="n"/>
      <c r="AN107" s="36" t="n"/>
      <c r="AO107" s="36" t="n"/>
      <c r="AP107" s="36" t="n"/>
      <c r="AQ107" s="36" t="n"/>
      <c r="AR107" s="36" t="n"/>
      <c r="AS107" s="36" t="n"/>
      <c r="AT107" s="36" t="n"/>
      <c r="AU107" s="36" t="n"/>
      <c r="AV107" s="36" t="n"/>
      <c r="AW107" s="36" t="n"/>
      <c r="AX107" s="36" t="n"/>
      <c r="AY107" s="36" t="n"/>
      <c r="AZ107" s="36" t="n"/>
      <c r="BA107" s="36" t="n"/>
      <c r="BB107" s="36" t="n"/>
      <c r="BC107" s="36" t="n"/>
      <c r="BD107" s="36" t="n"/>
      <c r="BE107" s="36" t="n"/>
      <c r="BF107" s="36" t="n"/>
      <c r="BG107" s="36" t="n"/>
      <c r="BH107" s="36" t="n"/>
      <c r="BI107" s="36" t="n"/>
      <c r="BJ107" s="36" t="n"/>
      <c r="BK107" s="36" t="n"/>
      <c r="BL107" s="36" t="n"/>
      <c r="BM107" s="36" t="n"/>
      <c r="BN107" s="36" t="n"/>
      <c r="BO107" s="36" t="n"/>
      <c r="BP107" s="36" t="n"/>
      <c r="BQ107" s="36" t="n"/>
      <c r="BR107" s="36" t="n"/>
      <c r="BS107" s="36" t="n"/>
      <c r="BT107" s="36" t="n"/>
      <c r="BU107" s="36" t="n"/>
      <c r="BV107" s="36" t="n"/>
      <c r="BW107" s="36" t="n"/>
      <c r="BX107" s="36" t="n"/>
      <c r="BY107" s="36" t="n"/>
      <c r="BZ107" s="36" t="n"/>
      <c r="CA107" s="36" t="n"/>
      <c r="CB107" s="36" t="n"/>
      <c r="CC107" s="36" t="n"/>
      <c r="CD107" s="36" t="n"/>
      <c r="CE107" s="36" t="n"/>
      <c r="CF107" s="36" t="n"/>
      <c r="CG107" s="36" t="n"/>
      <c r="CH107" s="36" t="n"/>
      <c r="CI107" s="36" t="n"/>
      <c r="CJ107" s="36" t="n"/>
      <c r="CK107" s="36" t="n"/>
      <c r="CL107" s="36" t="n"/>
      <c r="CM107" s="36" t="n"/>
      <c r="CN107" s="2" t="n"/>
      <c r="CO107" s="2" t="n"/>
      <c r="CP107" s="2" t="n"/>
      <c r="CQ107" s="2" t="n"/>
      <c r="CR107" s="2" t="n"/>
      <c r="CS107" s="2" t="n"/>
      <c r="CT107" s="2" t="n"/>
      <c r="CU107" s="2" t="n"/>
      <c r="CV107" s="2" t="n"/>
      <c r="CW107" s="2" t="n"/>
      <c r="CX107" s="2" t="n"/>
      <c r="CY107" s="2" t="n"/>
      <c r="CZ107" s="2" t="n"/>
      <c r="DA107" s="2" t="n"/>
      <c r="DB107" s="2" t="n"/>
      <c r="DC107" s="2" t="n"/>
      <c r="DD107" s="2" t="n"/>
      <c r="DE107" s="2" t="n"/>
      <c r="DF107" s="2" t="n"/>
      <c r="DG107" s="2" t="n"/>
      <c r="DH107" s="2" t="n"/>
    </row>
    <row r="108" ht="45" customFormat="1" customHeight="1" s="76">
      <c r="A108" s="34" t="n"/>
      <c r="B108" s="34" t="n"/>
      <c r="C108" s="45" t="n"/>
      <c r="D108" s="36" t="n"/>
      <c r="E108" s="36" t="n"/>
      <c r="F108" s="36" t="n"/>
      <c r="G108" s="36" t="n"/>
      <c r="H108" s="36" t="n"/>
      <c r="I108" s="36" t="n"/>
      <c r="J108" s="36" t="n"/>
      <c r="K108" s="36" t="n"/>
      <c r="L108" s="36" t="n"/>
      <c r="M108" s="36" t="n"/>
      <c r="N108" s="36" t="n"/>
      <c r="O108" s="36" t="n"/>
      <c r="P108" s="36" t="n"/>
      <c r="Q108" s="36" t="n"/>
      <c r="R108" s="36" t="n"/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  <c r="AB108" s="36" t="n"/>
      <c r="AC108" s="36" t="n"/>
      <c r="AD108" s="36" t="n"/>
      <c r="AE108" s="36" t="n"/>
      <c r="AF108" s="36" t="n"/>
      <c r="AG108" s="36" t="n"/>
      <c r="AH108" s="36" t="n"/>
      <c r="AI108" s="36" t="n"/>
      <c r="AJ108" s="36" t="n"/>
      <c r="AK108" s="36" t="n"/>
      <c r="AL108" s="36" t="n"/>
      <c r="AM108" s="36" t="n"/>
      <c r="AN108" s="36" t="n"/>
      <c r="AO108" s="36" t="n"/>
      <c r="AP108" s="36" t="n"/>
      <c r="AQ108" s="36" t="n"/>
      <c r="AR108" s="36" t="n"/>
      <c r="AS108" s="36" t="n"/>
      <c r="AT108" s="36" t="n"/>
      <c r="AU108" s="36" t="n"/>
      <c r="AV108" s="36" t="n"/>
      <c r="AW108" s="36" t="n"/>
      <c r="AX108" s="36" t="n"/>
      <c r="AY108" s="36" t="n"/>
      <c r="AZ108" s="36" t="n"/>
      <c r="BA108" s="36" t="n"/>
      <c r="BB108" s="36" t="n"/>
      <c r="BC108" s="36" t="n"/>
      <c r="BD108" s="36" t="n"/>
      <c r="BE108" s="36" t="n"/>
      <c r="BF108" s="36" t="n"/>
      <c r="BG108" s="36" t="n"/>
      <c r="BH108" s="36" t="n"/>
      <c r="BI108" s="36" t="n"/>
      <c r="BJ108" s="36" t="n"/>
      <c r="BK108" s="36" t="n"/>
      <c r="BL108" s="36" t="n"/>
      <c r="BM108" s="36" t="n"/>
      <c r="BN108" s="36" t="n"/>
      <c r="BO108" s="36" t="n"/>
      <c r="BP108" s="36" t="n"/>
      <c r="BQ108" s="36" t="n"/>
      <c r="BR108" s="36" t="n"/>
      <c r="BS108" s="36" t="n"/>
      <c r="BT108" s="36" t="n"/>
      <c r="BU108" s="36" t="n"/>
      <c r="BV108" s="36" t="n"/>
      <c r="BW108" s="36" t="n"/>
      <c r="BX108" s="36" t="n"/>
      <c r="BY108" s="36" t="n"/>
      <c r="BZ108" s="36" t="n"/>
      <c r="CA108" s="36" t="n"/>
      <c r="CB108" s="36" t="n"/>
      <c r="CC108" s="36" t="n"/>
      <c r="CD108" s="36" t="n"/>
      <c r="CE108" s="36" t="n"/>
      <c r="CF108" s="36" t="n"/>
      <c r="CG108" s="36" t="n"/>
      <c r="CH108" s="36" t="n"/>
      <c r="CI108" s="36" t="n"/>
      <c r="CJ108" s="36" t="n"/>
      <c r="CK108" s="36" t="n"/>
      <c r="CL108" s="36" t="n"/>
      <c r="CM108" s="36" t="n"/>
      <c r="CN108" s="2" t="n"/>
      <c r="CO108" s="2" t="n"/>
      <c r="CP108" s="2" t="n"/>
      <c r="CQ108" s="2" t="n"/>
      <c r="CR108" s="2" t="n"/>
      <c r="CS108" s="2" t="n"/>
      <c r="CT108" s="2" t="n"/>
      <c r="CU108" s="2" t="n"/>
      <c r="CV108" s="2" t="n"/>
      <c r="CW108" s="2" t="n"/>
      <c r="CX108" s="2" t="n"/>
      <c r="CY108" s="2" t="n"/>
      <c r="CZ108" s="2" t="n"/>
      <c r="DA108" s="2" t="n"/>
      <c r="DB108" s="2" t="n"/>
      <c r="DC108" s="2" t="n"/>
      <c r="DD108" s="2" t="n"/>
      <c r="DE108" s="2" t="n"/>
      <c r="DF108" s="2" t="n"/>
      <c r="DG108" s="2" t="n"/>
      <c r="DH108" s="2" t="n"/>
    </row>
    <row r="109" ht="45" customFormat="1" customHeight="1" s="76">
      <c r="A109" s="34" t="n"/>
      <c r="B109" s="34" t="n"/>
      <c r="C109" s="45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  <c r="AB109" s="36" t="n"/>
      <c r="AC109" s="36" t="n"/>
      <c r="AD109" s="36" t="n"/>
      <c r="AE109" s="36" t="n"/>
      <c r="AF109" s="36" t="n"/>
      <c r="AG109" s="36" t="n"/>
      <c r="AH109" s="36" t="n"/>
      <c r="AI109" s="36" t="n"/>
      <c r="AJ109" s="36" t="n"/>
      <c r="AK109" s="36" t="n"/>
      <c r="AL109" s="36" t="n"/>
      <c r="AM109" s="36" t="n"/>
      <c r="AN109" s="36" t="n"/>
      <c r="AO109" s="36" t="n"/>
      <c r="AP109" s="36" t="n"/>
      <c r="AQ109" s="36" t="n"/>
      <c r="AR109" s="36" t="n"/>
      <c r="AS109" s="36" t="n"/>
      <c r="AT109" s="36" t="n"/>
      <c r="AU109" s="36" t="n"/>
      <c r="AV109" s="36" t="n"/>
      <c r="AW109" s="36" t="n"/>
      <c r="AX109" s="36" t="n"/>
      <c r="AY109" s="36" t="n"/>
      <c r="AZ109" s="36" t="n"/>
      <c r="BA109" s="36" t="n"/>
      <c r="BB109" s="36" t="n"/>
      <c r="BC109" s="36" t="n"/>
      <c r="BD109" s="36" t="n"/>
      <c r="BE109" s="36" t="n"/>
      <c r="BF109" s="36" t="n"/>
      <c r="BG109" s="36" t="n"/>
      <c r="BH109" s="36" t="n"/>
      <c r="BI109" s="36" t="n"/>
      <c r="BJ109" s="36" t="n"/>
      <c r="BK109" s="36" t="n"/>
      <c r="BL109" s="36" t="n"/>
      <c r="BM109" s="36" t="n"/>
      <c r="BN109" s="36" t="n"/>
      <c r="BO109" s="36" t="n"/>
      <c r="BP109" s="36" t="n"/>
      <c r="BQ109" s="36" t="n"/>
      <c r="BR109" s="36" t="n"/>
      <c r="BS109" s="36" t="n"/>
      <c r="BT109" s="36" t="n"/>
      <c r="BU109" s="36" t="n"/>
      <c r="BV109" s="36" t="n"/>
      <c r="BW109" s="36" t="n"/>
      <c r="BX109" s="36" t="n"/>
      <c r="BY109" s="36" t="n"/>
      <c r="BZ109" s="36" t="n"/>
      <c r="CA109" s="36" t="n"/>
      <c r="CB109" s="36" t="n"/>
      <c r="CC109" s="36" t="n"/>
      <c r="CD109" s="36" t="n"/>
      <c r="CE109" s="36" t="n"/>
      <c r="CF109" s="36" t="n"/>
      <c r="CG109" s="36" t="n"/>
      <c r="CH109" s="36" t="n"/>
      <c r="CI109" s="36" t="n"/>
      <c r="CJ109" s="36" t="n"/>
      <c r="CK109" s="36" t="n"/>
      <c r="CL109" s="36" t="n"/>
      <c r="CM109" s="36" t="n"/>
      <c r="CN109" s="2" t="n"/>
      <c r="CO109" s="2" t="n"/>
      <c r="CP109" s="2" t="n"/>
      <c r="CQ109" s="2" t="n"/>
      <c r="CR109" s="2" t="n"/>
      <c r="CS109" s="2" t="n"/>
      <c r="CT109" s="2" t="n"/>
      <c r="CU109" s="2" t="n"/>
      <c r="CV109" s="2" t="n"/>
      <c r="CW109" s="2" t="n"/>
      <c r="CX109" s="2" t="n"/>
      <c r="CY109" s="2" t="n"/>
      <c r="CZ109" s="2" t="n"/>
      <c r="DA109" s="2" t="n"/>
      <c r="DB109" s="2" t="n"/>
      <c r="DC109" s="2" t="n"/>
      <c r="DD109" s="2" t="n"/>
      <c r="DE109" s="2" t="n"/>
      <c r="DF109" s="2" t="n"/>
      <c r="DG109" s="2" t="n"/>
      <c r="DH109" s="2" t="n"/>
    </row>
    <row r="110" ht="45" customFormat="1" customHeight="1" s="76">
      <c r="A110" s="34" t="n"/>
      <c r="B110" s="34" t="n"/>
      <c r="C110" s="45" t="n"/>
      <c r="D110" s="36" t="n"/>
      <c r="E110" s="36" t="n"/>
      <c r="F110" s="36" t="n"/>
      <c r="G110" s="36" t="n"/>
      <c r="H110" s="36" t="n"/>
      <c r="I110" s="36" t="n"/>
      <c r="J110" s="36" t="n"/>
      <c r="K110" s="36" t="n"/>
      <c r="L110" s="36" t="n"/>
      <c r="M110" s="36" t="n"/>
      <c r="N110" s="36" t="n"/>
      <c r="O110" s="36" t="n"/>
      <c r="P110" s="36" t="n"/>
      <c r="Q110" s="36" t="n"/>
      <c r="R110" s="36" t="n"/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  <c r="AB110" s="36" t="n"/>
      <c r="AC110" s="36" t="n"/>
      <c r="AD110" s="36" t="n"/>
      <c r="AE110" s="36" t="n"/>
      <c r="AF110" s="36" t="n"/>
      <c r="AG110" s="36" t="n"/>
      <c r="AH110" s="36" t="n"/>
      <c r="AI110" s="36" t="n"/>
      <c r="AJ110" s="36" t="n"/>
      <c r="AK110" s="36" t="n"/>
      <c r="AL110" s="36" t="n"/>
      <c r="AM110" s="36" t="n"/>
      <c r="AN110" s="36" t="n"/>
      <c r="AO110" s="36" t="n"/>
      <c r="AP110" s="36" t="n"/>
      <c r="AQ110" s="36" t="n"/>
      <c r="AR110" s="36" t="n"/>
      <c r="AS110" s="36" t="n"/>
      <c r="AT110" s="36" t="n"/>
      <c r="AU110" s="36" t="n"/>
      <c r="AV110" s="36" t="n"/>
      <c r="AW110" s="36" t="n"/>
      <c r="AX110" s="36" t="n"/>
      <c r="AY110" s="36" t="n"/>
      <c r="AZ110" s="36" t="n"/>
      <c r="BA110" s="36" t="n"/>
      <c r="BB110" s="36" t="n"/>
      <c r="BC110" s="36" t="n"/>
      <c r="BD110" s="36" t="n"/>
      <c r="BE110" s="36" t="n"/>
      <c r="BF110" s="36" t="n"/>
      <c r="BG110" s="36" t="n"/>
      <c r="BH110" s="36" t="n"/>
      <c r="BI110" s="36" t="n"/>
      <c r="BJ110" s="36" t="n"/>
      <c r="BK110" s="36" t="n"/>
      <c r="BL110" s="36" t="n"/>
      <c r="BM110" s="36" t="n"/>
      <c r="BN110" s="36" t="n"/>
      <c r="BO110" s="36" t="n"/>
      <c r="BP110" s="36" t="n"/>
      <c r="BQ110" s="36" t="n"/>
      <c r="BR110" s="36" t="n"/>
      <c r="BS110" s="36" t="n"/>
      <c r="BT110" s="36" t="n"/>
      <c r="BU110" s="36" t="n"/>
      <c r="BV110" s="36" t="n"/>
      <c r="BW110" s="36" t="n"/>
      <c r="BX110" s="36" t="n"/>
      <c r="BY110" s="36" t="n"/>
      <c r="BZ110" s="36" t="n"/>
      <c r="CA110" s="36" t="n"/>
      <c r="CB110" s="36" t="n"/>
      <c r="CC110" s="36" t="n"/>
      <c r="CD110" s="36" t="n"/>
      <c r="CE110" s="36" t="n"/>
      <c r="CF110" s="36" t="n"/>
      <c r="CG110" s="36" t="n"/>
      <c r="CH110" s="36" t="n"/>
      <c r="CI110" s="36" t="n"/>
      <c r="CJ110" s="36" t="n"/>
      <c r="CK110" s="36" t="n"/>
      <c r="CL110" s="36" t="n"/>
      <c r="CM110" s="36" t="n"/>
      <c r="CN110" s="2" t="n"/>
      <c r="CO110" s="2" t="n"/>
      <c r="CP110" s="2" t="n"/>
      <c r="CQ110" s="2" t="n"/>
      <c r="CR110" s="2" t="n"/>
      <c r="CS110" s="2" t="n"/>
      <c r="CT110" s="2" t="n"/>
      <c r="CU110" s="2" t="n"/>
      <c r="CV110" s="2" t="n"/>
      <c r="CW110" s="2" t="n"/>
      <c r="CX110" s="2" t="n"/>
      <c r="CY110" s="2" t="n"/>
      <c r="CZ110" s="2" t="n"/>
      <c r="DA110" s="2" t="n"/>
      <c r="DB110" s="2" t="n"/>
      <c r="DC110" s="2" t="n"/>
      <c r="DD110" s="2" t="n"/>
      <c r="DE110" s="2" t="n"/>
      <c r="DF110" s="2" t="n"/>
      <c r="DG110" s="2" t="n"/>
      <c r="DH110" s="2" t="n"/>
    </row>
    <row r="111" ht="45" customFormat="1" customHeight="1" s="76">
      <c r="A111" s="34" t="n"/>
      <c r="B111" s="34" t="n"/>
      <c r="C111" s="45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  <c r="AB111" s="36" t="n"/>
      <c r="AC111" s="36" t="n"/>
      <c r="AD111" s="36" t="n"/>
      <c r="AE111" s="36" t="n"/>
      <c r="AF111" s="36" t="n"/>
      <c r="AG111" s="36" t="n"/>
      <c r="AH111" s="36" t="n"/>
      <c r="AI111" s="36" t="n"/>
      <c r="AJ111" s="36" t="n"/>
      <c r="AK111" s="36" t="n"/>
      <c r="AL111" s="36" t="n"/>
      <c r="AM111" s="36" t="n"/>
      <c r="AN111" s="36" t="n"/>
      <c r="AO111" s="36" t="n"/>
      <c r="AP111" s="36" t="n"/>
      <c r="AQ111" s="36" t="n"/>
      <c r="AR111" s="36" t="n"/>
      <c r="AS111" s="36" t="n"/>
      <c r="AT111" s="36" t="n"/>
      <c r="AU111" s="36" t="n"/>
      <c r="AV111" s="36" t="n"/>
      <c r="AW111" s="36" t="n"/>
      <c r="AX111" s="36" t="n"/>
      <c r="AY111" s="36" t="n"/>
      <c r="AZ111" s="36" t="n"/>
      <c r="BA111" s="36" t="n"/>
      <c r="BB111" s="36" t="n"/>
      <c r="BC111" s="36" t="n"/>
      <c r="BD111" s="36" t="n"/>
      <c r="BE111" s="36" t="n"/>
      <c r="BF111" s="36" t="n"/>
      <c r="BG111" s="36" t="n"/>
      <c r="BH111" s="36" t="n"/>
      <c r="BI111" s="36" t="n"/>
      <c r="BJ111" s="36" t="n"/>
      <c r="BK111" s="36" t="n"/>
      <c r="BL111" s="36" t="n"/>
      <c r="BM111" s="36" t="n"/>
      <c r="BN111" s="36" t="n"/>
      <c r="BO111" s="36" t="n"/>
      <c r="BP111" s="36" t="n"/>
      <c r="BQ111" s="36" t="n"/>
      <c r="BR111" s="36" t="n"/>
      <c r="BS111" s="36" t="n"/>
      <c r="BT111" s="36" t="n"/>
      <c r="BU111" s="36" t="n"/>
      <c r="BV111" s="36" t="n"/>
      <c r="BW111" s="36" t="n"/>
      <c r="BX111" s="36" t="n"/>
      <c r="BY111" s="36" t="n"/>
      <c r="BZ111" s="36" t="n"/>
      <c r="CA111" s="36" t="n"/>
      <c r="CB111" s="36" t="n"/>
      <c r="CC111" s="36" t="n"/>
      <c r="CD111" s="36" t="n"/>
      <c r="CE111" s="36" t="n"/>
      <c r="CF111" s="36" t="n"/>
      <c r="CG111" s="36" t="n"/>
      <c r="CH111" s="36" t="n"/>
      <c r="CI111" s="36" t="n"/>
      <c r="CJ111" s="36" t="n"/>
      <c r="CK111" s="36" t="n"/>
      <c r="CL111" s="36" t="n"/>
      <c r="CM111" s="36" t="n"/>
      <c r="CN111" s="2" t="n"/>
      <c r="CO111" s="2" t="n"/>
      <c r="CP111" s="2" t="n"/>
      <c r="CQ111" s="2" t="n"/>
      <c r="CR111" s="2" t="n"/>
      <c r="CS111" s="2" t="n"/>
      <c r="CT111" s="2" t="n"/>
      <c r="CU111" s="2" t="n"/>
      <c r="CV111" s="2" t="n"/>
      <c r="CW111" s="2" t="n"/>
      <c r="CX111" s="2" t="n"/>
      <c r="CY111" s="2" t="n"/>
      <c r="CZ111" s="2" t="n"/>
      <c r="DA111" s="2" t="n"/>
      <c r="DB111" s="2" t="n"/>
      <c r="DC111" s="2" t="n"/>
      <c r="DD111" s="2" t="n"/>
      <c r="DE111" s="2" t="n"/>
      <c r="DF111" s="2" t="n"/>
      <c r="DG111" s="2" t="n"/>
      <c r="DH111" s="2" t="n"/>
    </row>
    <row r="112" ht="45" customFormat="1" customHeight="1" s="76">
      <c r="A112" s="34" t="n"/>
      <c r="B112" s="34" t="n"/>
      <c r="C112" s="45" t="n"/>
      <c r="D112" s="36" t="n"/>
      <c r="E112" s="36" t="n"/>
      <c r="F112" s="36" t="n"/>
      <c r="G112" s="36" t="n"/>
      <c r="H112" s="36" t="n"/>
      <c r="I112" s="36" t="n"/>
      <c r="J112" s="36" t="n"/>
      <c r="K112" s="36" t="n"/>
      <c r="L112" s="36" t="n"/>
      <c r="M112" s="36" t="n"/>
      <c r="N112" s="36" t="n"/>
      <c r="O112" s="36" t="n"/>
      <c r="P112" s="36" t="n"/>
      <c r="Q112" s="36" t="n"/>
      <c r="R112" s="36" t="n"/>
      <c r="S112" s="36" t="n"/>
      <c r="T112" s="36" t="n"/>
      <c r="U112" s="36" t="n"/>
      <c r="V112" s="36" t="n"/>
      <c r="W112" s="36" t="n"/>
      <c r="X112" s="36" t="n"/>
      <c r="Y112" s="36" t="n"/>
      <c r="Z112" s="36" t="n"/>
      <c r="AA112" s="36" t="n"/>
      <c r="AB112" s="36" t="n"/>
      <c r="AC112" s="36" t="n"/>
      <c r="AD112" s="36" t="n"/>
      <c r="AE112" s="36" t="n"/>
      <c r="AF112" s="36" t="n"/>
      <c r="AG112" s="36" t="n"/>
      <c r="AH112" s="36" t="n"/>
      <c r="AI112" s="36" t="n"/>
      <c r="AJ112" s="36" t="n"/>
      <c r="AK112" s="36" t="n"/>
      <c r="AL112" s="36" t="n"/>
      <c r="AM112" s="36" t="n"/>
      <c r="AN112" s="36" t="n"/>
      <c r="AO112" s="36" t="n"/>
      <c r="AP112" s="36" t="n"/>
      <c r="AQ112" s="36" t="n"/>
      <c r="AR112" s="36" t="n"/>
      <c r="AS112" s="36" t="n"/>
      <c r="AT112" s="36" t="n"/>
      <c r="AU112" s="36" t="n"/>
      <c r="AV112" s="36" t="n"/>
      <c r="AW112" s="36" t="n"/>
      <c r="AX112" s="36" t="n"/>
      <c r="AY112" s="36" t="n"/>
      <c r="AZ112" s="36" t="n"/>
      <c r="BA112" s="36" t="n"/>
      <c r="BB112" s="36" t="n"/>
      <c r="BC112" s="36" t="n"/>
      <c r="BD112" s="36" t="n"/>
      <c r="BE112" s="36" t="n"/>
      <c r="BF112" s="36" t="n"/>
      <c r="BG112" s="36" t="n"/>
      <c r="BH112" s="36" t="n"/>
      <c r="BI112" s="36" t="n"/>
      <c r="BJ112" s="36" t="n"/>
      <c r="BK112" s="36" t="n"/>
      <c r="BL112" s="36" t="n"/>
      <c r="BM112" s="36" t="n"/>
      <c r="BN112" s="36" t="n"/>
      <c r="BO112" s="36" t="n"/>
      <c r="BP112" s="36" t="n"/>
      <c r="BQ112" s="36" t="n"/>
      <c r="BR112" s="36" t="n"/>
      <c r="BS112" s="36" t="n"/>
      <c r="BT112" s="36" t="n"/>
      <c r="BU112" s="36" t="n"/>
      <c r="BV112" s="36" t="n"/>
      <c r="BW112" s="36" t="n"/>
      <c r="BX112" s="36" t="n"/>
      <c r="BY112" s="36" t="n"/>
      <c r="BZ112" s="36" t="n"/>
      <c r="CA112" s="36" t="n"/>
      <c r="CB112" s="36" t="n"/>
      <c r="CC112" s="36" t="n"/>
      <c r="CD112" s="36" t="n"/>
      <c r="CE112" s="36" t="n"/>
      <c r="CF112" s="36" t="n"/>
      <c r="CG112" s="36" t="n"/>
      <c r="CH112" s="36" t="n"/>
      <c r="CI112" s="36" t="n"/>
      <c r="CJ112" s="36" t="n"/>
      <c r="CK112" s="36" t="n"/>
      <c r="CL112" s="36" t="n"/>
      <c r="CM112" s="36" t="n"/>
      <c r="CN112" s="2" t="n"/>
      <c r="CO112" s="2" t="n"/>
      <c r="CP112" s="2" t="n"/>
      <c r="CQ112" s="2" t="n"/>
      <c r="CR112" s="2" t="n"/>
      <c r="CS112" s="2" t="n"/>
      <c r="CT112" s="2" t="n"/>
      <c r="CU112" s="2" t="n"/>
      <c r="CV112" s="2" t="n"/>
      <c r="CW112" s="2" t="n"/>
      <c r="CX112" s="2" t="n"/>
      <c r="CY112" s="2" t="n"/>
      <c r="CZ112" s="2" t="n"/>
      <c r="DA112" s="2" t="n"/>
      <c r="DB112" s="2" t="n"/>
      <c r="DC112" s="2" t="n"/>
      <c r="DD112" s="2" t="n"/>
      <c r="DE112" s="2" t="n"/>
      <c r="DF112" s="2" t="n"/>
      <c r="DG112" s="2" t="n"/>
      <c r="DH112" s="2" t="n"/>
    </row>
    <row r="113" ht="27.95" customFormat="1" customHeight="1" s="76">
      <c r="A113" s="34" t="n"/>
      <c r="B113" s="35" t="n"/>
      <c r="C113" s="46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40" t="n"/>
      <c r="M113" s="40" t="n"/>
      <c r="N113" s="40" t="n"/>
      <c r="O113" s="40" t="n"/>
      <c r="P113" s="40" t="n"/>
      <c r="Q113" s="40" t="n"/>
      <c r="R113" s="40" t="n"/>
      <c r="S113" s="40" t="n"/>
      <c r="T113" s="40" t="n"/>
      <c r="U113" s="40" t="n"/>
      <c r="V113" s="40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  <c r="AE113" s="40" t="n"/>
      <c r="AF113" s="40" t="n"/>
      <c r="AG113" s="40" t="n"/>
      <c r="AH113" s="40" t="n"/>
      <c r="AI113" s="40" t="n"/>
      <c r="AJ113" s="40" t="n"/>
      <c r="AK113" s="40" t="n"/>
      <c r="AL113" s="40" t="n"/>
      <c r="AM113" s="40" t="n"/>
      <c r="AN113" s="40" t="n"/>
      <c r="AO113" s="40" t="n"/>
      <c r="AP113" s="40" t="n"/>
      <c r="AQ113" s="40" t="n"/>
      <c r="AR113" s="40" t="n"/>
      <c r="AS113" s="40" t="n"/>
      <c r="AT113" s="40" t="n"/>
      <c r="AU113" s="40" t="n"/>
      <c r="AV113" s="40" t="n"/>
      <c r="AW113" s="40" t="n"/>
      <c r="AX113" s="40" t="n"/>
      <c r="AY113" s="40" t="n"/>
      <c r="AZ113" s="40" t="n"/>
      <c r="BA113" s="40" t="n"/>
      <c r="BB113" s="40" t="n"/>
      <c r="BC113" s="40" t="n"/>
      <c r="BD113" s="40" t="n"/>
      <c r="BE113" s="40" t="n"/>
      <c r="BF113" s="40" t="n"/>
      <c r="BG113" s="40" t="n"/>
      <c r="BH113" s="40" t="n"/>
      <c r="BI113" s="40" t="n"/>
      <c r="BJ113" s="40" t="n"/>
      <c r="BK113" s="40" t="n"/>
      <c r="BL113" s="40" t="n"/>
      <c r="BM113" s="40" t="n"/>
      <c r="BN113" s="40" t="n"/>
      <c r="BO113" s="40" t="n"/>
      <c r="BP113" s="40" t="n"/>
      <c r="BQ113" s="40" t="n"/>
      <c r="BR113" s="40" t="n"/>
      <c r="BS113" s="40" t="n"/>
      <c r="BT113" s="40" t="n"/>
      <c r="BU113" s="40" t="n"/>
      <c r="BV113" s="40" t="n"/>
      <c r="BW113" s="40" t="n"/>
      <c r="BX113" s="40" t="n"/>
      <c r="BY113" s="40" t="n"/>
      <c r="BZ113" s="40" t="n"/>
      <c r="CA113" s="40" t="n"/>
      <c r="CB113" s="40" t="n"/>
      <c r="CC113" s="40" t="n"/>
      <c r="CD113" s="40" t="n"/>
      <c r="CE113" s="40" t="n"/>
      <c r="CF113" s="40" t="n"/>
      <c r="CG113" s="40" t="n"/>
      <c r="CH113" s="40" t="n"/>
      <c r="CI113" s="40" t="n"/>
      <c r="CJ113" s="40" t="n"/>
      <c r="CK113" s="40" t="n"/>
      <c r="CL113" s="40" t="n"/>
      <c r="CM113" s="40" t="n"/>
      <c r="CN113" s="2" t="n"/>
      <c r="CO113" s="2" t="n"/>
      <c r="CP113" s="2" t="n"/>
      <c r="CQ113" s="2" t="n"/>
      <c r="CR113" s="2" t="n"/>
      <c r="CS113" s="2" t="n"/>
      <c r="CT113" s="2" t="n"/>
      <c r="CU113" s="2" t="n"/>
      <c r="CV113" s="2" t="n"/>
      <c r="CW113" s="2" t="n"/>
      <c r="CX113" s="2" t="n"/>
      <c r="CY113" s="2" t="n"/>
      <c r="CZ113" s="2" t="n"/>
      <c r="DA113" s="2" t="n"/>
      <c r="DB113" s="2" t="n"/>
      <c r="DC113" s="2" t="n"/>
      <c r="DD113" s="2" t="n"/>
      <c r="DE113" s="2" t="n"/>
      <c r="DF113" s="2" t="n"/>
      <c r="DG113" s="2" t="n"/>
      <c r="DH113" s="2" t="n"/>
    </row>
    <row r="114" ht="45" customFormat="1" customHeight="1" s="76">
      <c r="A114" s="34" t="n"/>
      <c r="B114" s="34" t="n"/>
      <c r="C114" s="45" t="n"/>
      <c r="D114" s="36" t="n"/>
      <c r="E114" s="36" t="n"/>
      <c r="F114" s="36" t="n"/>
      <c r="G114" s="36" t="n"/>
      <c r="H114" s="36" t="n"/>
      <c r="I114" s="36" t="n"/>
      <c r="J114" s="36" t="n"/>
      <c r="K114" s="36" t="n"/>
      <c r="L114" s="36" t="n"/>
      <c r="M114" s="36" t="n"/>
      <c r="N114" s="36" t="n"/>
      <c r="O114" s="36" t="n"/>
      <c r="P114" s="36" t="n"/>
      <c r="Q114" s="36" t="n"/>
      <c r="R114" s="36" t="n"/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  <c r="AB114" s="36" t="n"/>
      <c r="AC114" s="36" t="n"/>
      <c r="AD114" s="36" t="n"/>
      <c r="AE114" s="36" t="n"/>
      <c r="AF114" s="36" t="n"/>
      <c r="AG114" s="36" t="n"/>
      <c r="AH114" s="36" t="n"/>
      <c r="AI114" s="36" t="n"/>
      <c r="AJ114" s="36" t="n"/>
      <c r="AK114" s="36" t="n"/>
      <c r="AL114" s="36" t="n"/>
      <c r="AM114" s="36" t="n"/>
      <c r="AN114" s="36" t="n"/>
      <c r="AO114" s="36" t="n"/>
      <c r="AP114" s="36" t="n"/>
      <c r="AQ114" s="36" t="n"/>
      <c r="AR114" s="36" t="n"/>
      <c r="AS114" s="36" t="n"/>
      <c r="AT114" s="36" t="n"/>
      <c r="AU114" s="36" t="n"/>
      <c r="AV114" s="36" t="n"/>
      <c r="AW114" s="36" t="n"/>
      <c r="AX114" s="36" t="n"/>
      <c r="AY114" s="36" t="n"/>
      <c r="AZ114" s="36" t="n"/>
      <c r="BA114" s="36" t="n"/>
      <c r="BB114" s="36" t="n"/>
      <c r="BC114" s="36" t="n"/>
      <c r="BD114" s="36" t="n"/>
      <c r="BE114" s="36" t="n"/>
      <c r="BF114" s="36" t="n"/>
      <c r="BG114" s="36" t="n"/>
      <c r="BH114" s="36" t="n"/>
      <c r="BI114" s="36" t="n"/>
      <c r="BJ114" s="36" t="n"/>
      <c r="BK114" s="36" t="n"/>
      <c r="BL114" s="36" t="n"/>
      <c r="BM114" s="36" t="n"/>
      <c r="BN114" s="36" t="n"/>
      <c r="BO114" s="36" t="n"/>
      <c r="BP114" s="36" t="n"/>
      <c r="BQ114" s="36" t="n"/>
      <c r="BR114" s="36" t="n"/>
      <c r="BS114" s="36" t="n"/>
      <c r="BT114" s="36" t="n"/>
      <c r="BU114" s="36" t="n"/>
      <c r="BV114" s="36" t="n"/>
      <c r="BW114" s="36" t="n"/>
      <c r="BX114" s="36" t="n"/>
      <c r="BY114" s="36" t="n"/>
      <c r="BZ114" s="36" t="n"/>
      <c r="CA114" s="36" t="n"/>
      <c r="CB114" s="36" t="n"/>
      <c r="CC114" s="36" t="n"/>
      <c r="CD114" s="36" t="n"/>
      <c r="CE114" s="36" t="n"/>
      <c r="CF114" s="36" t="n"/>
      <c r="CG114" s="36" t="n"/>
      <c r="CH114" s="36" t="n"/>
      <c r="CI114" s="36" t="n"/>
      <c r="CJ114" s="36" t="n"/>
      <c r="CK114" s="36" t="n"/>
      <c r="CL114" s="36" t="n"/>
      <c r="CM114" s="36" t="n"/>
      <c r="CN114" s="2" t="n"/>
      <c r="CO114" s="2" t="n"/>
      <c r="CP114" s="2" t="n"/>
      <c r="CQ114" s="2" t="n"/>
      <c r="CR114" s="2" t="n"/>
      <c r="CS114" s="2" t="n"/>
      <c r="CT114" s="2" t="n"/>
      <c r="CU114" s="2" t="n"/>
      <c r="CV114" s="2" t="n"/>
      <c r="CW114" s="2" t="n"/>
      <c r="CX114" s="2" t="n"/>
      <c r="CY114" s="2" t="n"/>
      <c r="CZ114" s="2" t="n"/>
      <c r="DA114" s="2" t="n"/>
      <c r="DB114" s="2" t="n"/>
      <c r="DC114" s="2" t="n"/>
      <c r="DD114" s="2" t="n"/>
      <c r="DE114" s="2" t="n"/>
      <c r="DF114" s="2" t="n"/>
      <c r="DG114" s="2" t="n"/>
      <c r="DH114" s="2" t="n"/>
    </row>
    <row r="115" ht="45" customFormat="1" customHeight="1" s="76">
      <c r="A115" s="34" t="n"/>
      <c r="B115" s="34" t="n"/>
      <c r="C115" s="45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  <c r="AB115" s="36" t="n"/>
      <c r="AC115" s="36" t="n"/>
      <c r="AD115" s="36" t="n"/>
      <c r="AE115" s="36" t="n"/>
      <c r="AF115" s="36" t="n"/>
      <c r="AG115" s="36" t="n"/>
      <c r="AH115" s="36" t="n"/>
      <c r="AI115" s="36" t="n"/>
      <c r="AJ115" s="36" t="n"/>
      <c r="AK115" s="36" t="n"/>
      <c r="AL115" s="36" t="n"/>
      <c r="AM115" s="36" t="n"/>
      <c r="AN115" s="36" t="n"/>
      <c r="AO115" s="36" t="n"/>
      <c r="AP115" s="36" t="n"/>
      <c r="AQ115" s="36" t="n"/>
      <c r="AR115" s="36" t="n"/>
      <c r="AS115" s="36" t="n"/>
      <c r="AT115" s="36" t="n"/>
      <c r="AU115" s="36" t="n"/>
      <c r="AV115" s="36" t="n"/>
      <c r="AW115" s="36" t="n"/>
      <c r="AX115" s="36" t="n"/>
      <c r="AY115" s="36" t="n"/>
      <c r="AZ115" s="36" t="n"/>
      <c r="BA115" s="36" t="n"/>
      <c r="BB115" s="36" t="n"/>
      <c r="BC115" s="36" t="n"/>
      <c r="BD115" s="36" t="n"/>
      <c r="BE115" s="36" t="n"/>
      <c r="BF115" s="36" t="n"/>
      <c r="BG115" s="36" t="n"/>
      <c r="BH115" s="36" t="n"/>
      <c r="BI115" s="36" t="n"/>
      <c r="BJ115" s="36" t="n"/>
      <c r="BK115" s="36" t="n"/>
      <c r="BL115" s="36" t="n"/>
      <c r="BM115" s="36" t="n"/>
      <c r="BN115" s="36" t="n"/>
      <c r="BO115" s="36" t="n"/>
      <c r="BP115" s="36" t="n"/>
      <c r="BQ115" s="36" t="n"/>
      <c r="BR115" s="36" t="n"/>
      <c r="BS115" s="36" t="n"/>
      <c r="BT115" s="36" t="n"/>
      <c r="BU115" s="36" t="n"/>
      <c r="BV115" s="36" t="n"/>
      <c r="BW115" s="36" t="n"/>
      <c r="BX115" s="36" t="n"/>
      <c r="BY115" s="36" t="n"/>
      <c r="BZ115" s="36" t="n"/>
      <c r="CA115" s="36" t="n"/>
      <c r="CB115" s="36" t="n"/>
      <c r="CC115" s="36" t="n"/>
      <c r="CD115" s="36" t="n"/>
      <c r="CE115" s="36" t="n"/>
      <c r="CF115" s="36" t="n"/>
      <c r="CG115" s="36" t="n"/>
      <c r="CH115" s="36" t="n"/>
      <c r="CI115" s="36" t="n"/>
      <c r="CJ115" s="36" t="n"/>
      <c r="CK115" s="36" t="n"/>
      <c r="CL115" s="36" t="n"/>
      <c r="CM115" s="36" t="n"/>
      <c r="CN115" s="2" t="n"/>
      <c r="CO115" s="2" t="n"/>
      <c r="CP115" s="2" t="n"/>
      <c r="CQ115" s="2" t="n"/>
      <c r="CR115" s="2" t="n"/>
      <c r="CS115" s="2" t="n"/>
      <c r="CT115" s="2" t="n"/>
      <c r="CU115" s="2" t="n"/>
      <c r="CV115" s="2" t="n"/>
      <c r="CW115" s="2" t="n"/>
      <c r="CX115" s="2" t="n"/>
      <c r="CY115" s="2" t="n"/>
      <c r="CZ115" s="2" t="n"/>
      <c r="DA115" s="2" t="n"/>
      <c r="DB115" s="2" t="n"/>
      <c r="DC115" s="2" t="n"/>
      <c r="DD115" s="2" t="n"/>
      <c r="DE115" s="2" t="n"/>
      <c r="DF115" s="2" t="n"/>
      <c r="DG115" s="2" t="n"/>
      <c r="DH115" s="2" t="n"/>
    </row>
    <row r="116" ht="45" customFormat="1" customHeight="1" s="76">
      <c r="A116" s="34" t="n"/>
      <c r="B116" s="34" t="n"/>
      <c r="C116" s="45" t="n"/>
      <c r="D116" s="36" t="n"/>
      <c r="E116" s="36" t="n"/>
      <c r="F116" s="36" t="n"/>
      <c r="G116" s="36" t="n"/>
      <c r="H116" s="36" t="n"/>
      <c r="I116" s="36" t="n"/>
      <c r="J116" s="36" t="n"/>
      <c r="K116" s="36" t="n"/>
      <c r="L116" s="36" t="n"/>
      <c r="M116" s="36" t="n"/>
      <c r="N116" s="36" t="n"/>
      <c r="O116" s="36" t="n"/>
      <c r="P116" s="36" t="n"/>
      <c r="Q116" s="36" t="n"/>
      <c r="R116" s="36" t="n"/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  <c r="AB116" s="36" t="n"/>
      <c r="AC116" s="36" t="n"/>
      <c r="AD116" s="36" t="n"/>
      <c r="AE116" s="36" t="n"/>
      <c r="AF116" s="36" t="n"/>
      <c r="AG116" s="36" t="n"/>
      <c r="AH116" s="36" t="n"/>
      <c r="AI116" s="36" t="n"/>
      <c r="AJ116" s="36" t="n"/>
      <c r="AK116" s="36" t="n"/>
      <c r="AL116" s="36" t="n"/>
      <c r="AM116" s="36" t="n"/>
      <c r="AN116" s="36" t="n"/>
      <c r="AO116" s="36" t="n"/>
      <c r="AP116" s="36" t="n"/>
      <c r="AQ116" s="36" t="n"/>
      <c r="AR116" s="36" t="n"/>
      <c r="AS116" s="36" t="n"/>
      <c r="AT116" s="36" t="n"/>
      <c r="AU116" s="36" t="n"/>
      <c r="AV116" s="36" t="n"/>
      <c r="AW116" s="36" t="n"/>
      <c r="AX116" s="36" t="n"/>
      <c r="AY116" s="36" t="n"/>
      <c r="AZ116" s="36" t="n"/>
      <c r="BA116" s="36" t="n"/>
      <c r="BB116" s="36" t="n"/>
      <c r="BC116" s="36" t="n"/>
      <c r="BD116" s="36" t="n"/>
      <c r="BE116" s="36" t="n"/>
      <c r="BF116" s="36" t="n"/>
      <c r="BG116" s="36" t="n"/>
      <c r="BH116" s="36" t="n"/>
      <c r="BI116" s="36" t="n"/>
      <c r="BJ116" s="36" t="n"/>
      <c r="BK116" s="36" t="n"/>
      <c r="BL116" s="36" t="n"/>
      <c r="BM116" s="36" t="n"/>
      <c r="BN116" s="36" t="n"/>
      <c r="BO116" s="36" t="n"/>
      <c r="BP116" s="36" t="n"/>
      <c r="BQ116" s="36" t="n"/>
      <c r="BR116" s="36" t="n"/>
      <c r="BS116" s="36" t="n"/>
      <c r="BT116" s="36" t="n"/>
      <c r="BU116" s="36" t="n"/>
      <c r="BV116" s="36" t="n"/>
      <c r="BW116" s="36" t="n"/>
      <c r="BX116" s="36" t="n"/>
      <c r="BY116" s="36" t="n"/>
      <c r="BZ116" s="36" t="n"/>
      <c r="CA116" s="36" t="n"/>
      <c r="CB116" s="36" t="n"/>
      <c r="CC116" s="36" t="n"/>
      <c r="CD116" s="36" t="n"/>
      <c r="CE116" s="36" t="n"/>
      <c r="CF116" s="36" t="n"/>
      <c r="CG116" s="36" t="n"/>
      <c r="CH116" s="36" t="n"/>
      <c r="CI116" s="36" t="n"/>
      <c r="CJ116" s="36" t="n"/>
      <c r="CK116" s="36" t="n"/>
      <c r="CL116" s="36" t="n"/>
      <c r="CM116" s="36" t="n"/>
      <c r="CN116" s="2" t="n"/>
      <c r="CO116" s="2" t="n"/>
      <c r="CP116" s="2" t="n"/>
      <c r="CQ116" s="2" t="n"/>
      <c r="CR116" s="2" t="n"/>
      <c r="CS116" s="2" t="n"/>
      <c r="CT116" s="2" t="n"/>
      <c r="CU116" s="2" t="n"/>
      <c r="CV116" s="2" t="n"/>
      <c r="CW116" s="2" t="n"/>
      <c r="CX116" s="2" t="n"/>
      <c r="CY116" s="2" t="n"/>
      <c r="CZ116" s="2" t="n"/>
      <c r="DA116" s="2" t="n"/>
      <c r="DB116" s="2" t="n"/>
      <c r="DC116" s="2" t="n"/>
      <c r="DD116" s="2" t="n"/>
      <c r="DE116" s="2" t="n"/>
      <c r="DF116" s="2" t="n"/>
      <c r="DG116" s="2" t="n"/>
      <c r="DH116" s="2" t="n"/>
    </row>
    <row r="117" ht="45" customFormat="1" customHeight="1" s="76">
      <c r="A117" s="35" t="n"/>
      <c r="B117" s="34" t="n"/>
      <c r="C117" s="45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  <c r="AB117" s="36" t="n"/>
      <c r="AC117" s="36" t="n"/>
      <c r="AD117" s="36" t="n"/>
      <c r="AE117" s="36" t="n"/>
      <c r="AF117" s="36" t="n"/>
      <c r="AG117" s="36" t="n"/>
      <c r="AH117" s="36" t="n"/>
      <c r="AI117" s="36" t="n"/>
      <c r="AJ117" s="36" t="n"/>
      <c r="AK117" s="36" t="n"/>
      <c r="AL117" s="36" t="n"/>
      <c r="AM117" s="36" t="n"/>
      <c r="AN117" s="36" t="n"/>
      <c r="AO117" s="36" t="n"/>
      <c r="AP117" s="36" t="n"/>
      <c r="AQ117" s="36" t="n"/>
      <c r="AR117" s="36" t="n"/>
      <c r="AS117" s="36" t="n"/>
      <c r="AT117" s="36" t="n"/>
      <c r="AU117" s="36" t="n"/>
      <c r="AV117" s="36" t="n"/>
      <c r="AW117" s="36" t="n"/>
      <c r="AX117" s="36" t="n"/>
      <c r="AY117" s="36" t="n"/>
      <c r="AZ117" s="36" t="n"/>
      <c r="BA117" s="36" t="n"/>
      <c r="BB117" s="36" t="n"/>
      <c r="BC117" s="36" t="n"/>
      <c r="BD117" s="36" t="n"/>
      <c r="BE117" s="36" t="n"/>
      <c r="BF117" s="36" t="n"/>
      <c r="BG117" s="36" t="n"/>
      <c r="BH117" s="36" t="n"/>
      <c r="BI117" s="36" t="n"/>
      <c r="BJ117" s="36" t="n"/>
      <c r="BK117" s="36" t="n"/>
      <c r="BL117" s="36" t="n"/>
      <c r="BM117" s="36" t="n"/>
      <c r="BN117" s="36" t="n"/>
      <c r="BO117" s="36" t="n"/>
      <c r="BP117" s="36" t="n"/>
      <c r="BQ117" s="36" t="n"/>
      <c r="BR117" s="36" t="n"/>
      <c r="BS117" s="36" t="n"/>
      <c r="BT117" s="36" t="n"/>
      <c r="BU117" s="36" t="n"/>
      <c r="BV117" s="36" t="n"/>
      <c r="BW117" s="36" t="n"/>
      <c r="BX117" s="36" t="n"/>
      <c r="BY117" s="36" t="n"/>
      <c r="BZ117" s="36" t="n"/>
      <c r="CA117" s="36" t="n"/>
      <c r="CB117" s="36" t="n"/>
      <c r="CC117" s="36" t="n"/>
      <c r="CD117" s="36" t="n"/>
      <c r="CE117" s="36" t="n"/>
      <c r="CF117" s="36" t="n"/>
      <c r="CG117" s="36" t="n"/>
      <c r="CH117" s="36" t="n"/>
      <c r="CI117" s="36" t="n"/>
      <c r="CJ117" s="36" t="n"/>
      <c r="CK117" s="36" t="n"/>
      <c r="CL117" s="36" t="n"/>
      <c r="CM117" s="36" t="n"/>
      <c r="CN117" s="2" t="n"/>
      <c r="CO117" s="2" t="n"/>
      <c r="CP117" s="2" t="n"/>
      <c r="CQ117" s="2" t="n"/>
      <c r="CR117" s="2" t="n"/>
      <c r="CS117" s="2" t="n"/>
      <c r="CT117" s="2" t="n"/>
      <c r="CU117" s="2" t="n"/>
      <c r="CV117" s="2" t="n"/>
      <c r="CW117" s="2" t="n"/>
      <c r="CX117" s="2" t="n"/>
      <c r="CY117" s="2" t="n"/>
      <c r="CZ117" s="2" t="n"/>
      <c r="DA117" s="2" t="n"/>
      <c r="DB117" s="2" t="n"/>
      <c r="DC117" s="2" t="n"/>
      <c r="DD117" s="2" t="n"/>
      <c r="DE117" s="2" t="n"/>
      <c r="DF117" s="2" t="n"/>
      <c r="DG117" s="2" t="n"/>
      <c r="DH117" s="2" t="n"/>
    </row>
    <row r="118" ht="45" customFormat="1" customHeight="1" s="76">
      <c r="A118" s="34" t="n"/>
      <c r="B118" s="34" t="n"/>
      <c r="C118" s="45" t="n"/>
      <c r="D118" s="36" t="n"/>
      <c r="E118" s="36" t="n"/>
      <c r="F118" s="36" t="n"/>
      <c r="G118" s="36" t="n"/>
      <c r="H118" s="36" t="n"/>
      <c r="I118" s="36" t="n"/>
      <c r="J118" s="36" t="n"/>
      <c r="K118" s="36" t="n"/>
      <c r="L118" s="36" t="n"/>
      <c r="M118" s="36" t="n"/>
      <c r="N118" s="36" t="n"/>
      <c r="O118" s="36" t="n"/>
      <c r="P118" s="36" t="n"/>
      <c r="Q118" s="36" t="n"/>
      <c r="R118" s="36" t="n"/>
      <c r="S118" s="36" t="n"/>
      <c r="T118" s="36" t="n"/>
      <c r="U118" s="36" t="n"/>
      <c r="V118" s="36" t="n"/>
      <c r="W118" s="36" t="n"/>
      <c r="X118" s="36" t="n"/>
      <c r="Y118" s="36" t="n"/>
      <c r="Z118" s="36" t="n"/>
      <c r="AA118" s="36" t="n"/>
      <c r="AB118" s="36" t="n"/>
      <c r="AC118" s="36" t="n"/>
      <c r="AD118" s="36" t="n"/>
      <c r="AE118" s="36" t="n"/>
      <c r="AF118" s="36" t="n"/>
      <c r="AG118" s="36" t="n"/>
      <c r="AH118" s="36" t="n"/>
      <c r="AI118" s="36" t="n"/>
      <c r="AJ118" s="36" t="n"/>
      <c r="AK118" s="36" t="n"/>
      <c r="AL118" s="36" t="n"/>
      <c r="AM118" s="36" t="n"/>
      <c r="AN118" s="36" t="n"/>
      <c r="AO118" s="36" t="n"/>
      <c r="AP118" s="36" t="n"/>
      <c r="AQ118" s="36" t="n"/>
      <c r="AR118" s="36" t="n"/>
      <c r="AS118" s="36" t="n"/>
      <c r="AT118" s="36" t="n"/>
      <c r="AU118" s="36" t="n"/>
      <c r="AV118" s="36" t="n"/>
      <c r="AW118" s="36" t="n"/>
      <c r="AX118" s="36" t="n"/>
      <c r="AY118" s="36" t="n"/>
      <c r="AZ118" s="36" t="n"/>
      <c r="BA118" s="36" t="n"/>
      <c r="BB118" s="36" t="n"/>
      <c r="BC118" s="36" t="n"/>
      <c r="BD118" s="36" t="n"/>
      <c r="BE118" s="36" t="n"/>
      <c r="BF118" s="36" t="n"/>
      <c r="BG118" s="36" t="n"/>
      <c r="BH118" s="36" t="n"/>
      <c r="BI118" s="36" t="n"/>
      <c r="BJ118" s="36" t="n"/>
      <c r="BK118" s="36" t="n"/>
      <c r="BL118" s="36" t="n"/>
      <c r="BM118" s="36" t="n"/>
      <c r="BN118" s="36" t="n"/>
      <c r="BO118" s="36" t="n"/>
      <c r="BP118" s="36" t="n"/>
      <c r="BQ118" s="36" t="n"/>
      <c r="BR118" s="36" t="n"/>
      <c r="BS118" s="36" t="n"/>
      <c r="BT118" s="36" t="n"/>
      <c r="BU118" s="36" t="n"/>
      <c r="BV118" s="36" t="n"/>
      <c r="BW118" s="36" t="n"/>
      <c r="BX118" s="36" t="n"/>
      <c r="BY118" s="36" t="n"/>
      <c r="BZ118" s="36" t="n"/>
      <c r="CA118" s="36" t="n"/>
      <c r="CB118" s="36" t="n"/>
      <c r="CC118" s="36" t="n"/>
      <c r="CD118" s="36" t="n"/>
      <c r="CE118" s="36" t="n"/>
      <c r="CF118" s="36" t="n"/>
      <c r="CG118" s="36" t="n"/>
      <c r="CH118" s="36" t="n"/>
      <c r="CI118" s="36" t="n"/>
      <c r="CJ118" s="36" t="n"/>
      <c r="CK118" s="36" t="n"/>
      <c r="CL118" s="36" t="n"/>
      <c r="CM118" s="36" t="n"/>
      <c r="CN118" s="2" t="n"/>
      <c r="CO118" s="2" t="n"/>
      <c r="CP118" s="2" t="n"/>
      <c r="CQ118" s="2" t="n"/>
      <c r="CR118" s="2" t="n"/>
      <c r="CS118" s="2" t="n"/>
      <c r="CT118" s="2" t="n"/>
      <c r="CU118" s="2" t="n"/>
      <c r="CV118" s="2" t="n"/>
      <c r="CW118" s="2" t="n"/>
      <c r="CX118" s="2" t="n"/>
      <c r="CY118" s="2" t="n"/>
      <c r="CZ118" s="2" t="n"/>
      <c r="DA118" s="2" t="n"/>
      <c r="DB118" s="2" t="n"/>
      <c r="DC118" s="2" t="n"/>
      <c r="DD118" s="2" t="n"/>
      <c r="DE118" s="2" t="n"/>
      <c r="DF118" s="2" t="n"/>
      <c r="DG118" s="2" t="n"/>
      <c r="DH118" s="2" t="n"/>
    </row>
    <row r="119" ht="45" customFormat="1" customHeight="1" s="76">
      <c r="A119" s="34" t="n"/>
      <c r="B119" s="34" t="n"/>
      <c r="C119" s="45" t="n"/>
      <c r="D119" s="36" t="n"/>
      <c r="E119" s="36" t="n"/>
      <c r="F119" s="36" t="n"/>
      <c r="G119" s="36" t="n"/>
      <c r="H119" s="36" t="n"/>
      <c r="I119" s="36" t="n"/>
      <c r="J119" s="36" t="n"/>
      <c r="K119" s="36" t="n"/>
      <c r="L119" s="36" t="n"/>
      <c r="M119" s="36" t="n"/>
      <c r="N119" s="36" t="n"/>
      <c r="O119" s="36" t="n"/>
      <c r="P119" s="36" t="n"/>
      <c r="Q119" s="36" t="n"/>
      <c r="R119" s="36" t="n"/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  <c r="AB119" s="36" t="n"/>
      <c r="AC119" s="36" t="n"/>
      <c r="AD119" s="36" t="n"/>
      <c r="AE119" s="36" t="n"/>
      <c r="AF119" s="36" t="n"/>
      <c r="AG119" s="36" t="n"/>
      <c r="AH119" s="36" t="n"/>
      <c r="AI119" s="36" t="n"/>
      <c r="AJ119" s="36" t="n"/>
      <c r="AK119" s="36" t="n"/>
      <c r="AL119" s="36" t="n"/>
      <c r="AM119" s="36" t="n"/>
      <c r="AN119" s="36" t="n"/>
      <c r="AO119" s="36" t="n"/>
      <c r="AP119" s="36" t="n"/>
      <c r="AQ119" s="36" t="n"/>
      <c r="AR119" s="36" t="n"/>
      <c r="AS119" s="36" t="n"/>
      <c r="AT119" s="36" t="n"/>
      <c r="AU119" s="36" t="n"/>
      <c r="AV119" s="36" t="n"/>
      <c r="AW119" s="36" t="n"/>
      <c r="AX119" s="36" t="n"/>
      <c r="AY119" s="36" t="n"/>
      <c r="AZ119" s="36" t="n"/>
      <c r="BA119" s="36" t="n"/>
      <c r="BB119" s="36" t="n"/>
      <c r="BC119" s="36" t="n"/>
      <c r="BD119" s="36" t="n"/>
      <c r="BE119" s="36" t="n"/>
      <c r="BF119" s="36" t="n"/>
      <c r="BG119" s="36" t="n"/>
      <c r="BH119" s="36" t="n"/>
      <c r="BI119" s="36" t="n"/>
      <c r="BJ119" s="36" t="n"/>
      <c r="BK119" s="36" t="n"/>
      <c r="BL119" s="36" t="n"/>
      <c r="BM119" s="36" t="n"/>
      <c r="BN119" s="36" t="n"/>
      <c r="BO119" s="36" t="n"/>
      <c r="BP119" s="36" t="n"/>
      <c r="BQ119" s="36" t="n"/>
      <c r="BR119" s="36" t="n"/>
      <c r="BS119" s="36" t="n"/>
      <c r="BT119" s="36" t="n"/>
      <c r="BU119" s="36" t="n"/>
      <c r="BV119" s="36" t="n"/>
      <c r="BW119" s="36" t="n"/>
      <c r="BX119" s="36" t="n"/>
      <c r="BY119" s="36" t="n"/>
      <c r="BZ119" s="36" t="n"/>
      <c r="CA119" s="36" t="n"/>
      <c r="CB119" s="36" t="n"/>
      <c r="CC119" s="36" t="n"/>
      <c r="CD119" s="36" t="n"/>
      <c r="CE119" s="36" t="n"/>
      <c r="CF119" s="36" t="n"/>
      <c r="CG119" s="36" t="n"/>
      <c r="CH119" s="36" t="n"/>
      <c r="CI119" s="36" t="n"/>
      <c r="CJ119" s="36" t="n"/>
      <c r="CK119" s="36" t="n"/>
      <c r="CL119" s="36" t="n"/>
      <c r="CM119" s="36" t="n"/>
      <c r="CN119" s="2" t="n"/>
      <c r="CO119" s="2" t="n"/>
      <c r="CP119" s="2" t="n"/>
      <c r="CQ119" s="2" t="n"/>
      <c r="CR119" s="2" t="n"/>
      <c r="CS119" s="2" t="n"/>
      <c r="CT119" s="2" t="n"/>
      <c r="CU119" s="2" t="n"/>
      <c r="CV119" s="2" t="n"/>
      <c r="CW119" s="2" t="n"/>
      <c r="CX119" s="2" t="n"/>
      <c r="CY119" s="2" t="n"/>
      <c r="CZ119" s="2" t="n"/>
      <c r="DA119" s="2" t="n"/>
      <c r="DB119" s="2" t="n"/>
      <c r="DC119" s="2" t="n"/>
      <c r="DD119" s="2" t="n"/>
      <c r="DE119" s="2" t="n"/>
      <c r="DF119" s="2" t="n"/>
      <c r="DG119" s="2" t="n"/>
      <c r="DH119" s="2" t="n"/>
    </row>
    <row r="120" ht="45" customFormat="1" customHeight="1" s="76">
      <c r="A120" s="34" t="n"/>
      <c r="B120" s="34" t="n"/>
      <c r="C120" s="45" t="n"/>
      <c r="D120" s="36" t="n"/>
      <c r="E120" s="36" t="n"/>
      <c r="F120" s="36" t="n"/>
      <c r="G120" s="36" t="n"/>
      <c r="H120" s="36" t="n"/>
      <c r="I120" s="36" t="n"/>
      <c r="J120" s="36" t="n"/>
      <c r="K120" s="36" t="n"/>
      <c r="L120" s="36" t="n"/>
      <c r="M120" s="36" t="n"/>
      <c r="N120" s="36" t="n"/>
      <c r="O120" s="36" t="n"/>
      <c r="P120" s="36" t="n"/>
      <c r="Q120" s="36" t="n"/>
      <c r="R120" s="36" t="n"/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  <c r="AB120" s="36" t="n"/>
      <c r="AC120" s="36" t="n"/>
      <c r="AD120" s="36" t="n"/>
      <c r="AE120" s="36" t="n"/>
      <c r="AF120" s="36" t="n"/>
      <c r="AG120" s="36" t="n"/>
      <c r="AH120" s="36" t="n"/>
      <c r="AI120" s="36" t="n"/>
      <c r="AJ120" s="36" t="n"/>
      <c r="AK120" s="36" t="n"/>
      <c r="AL120" s="36" t="n"/>
      <c r="AM120" s="36" t="n"/>
      <c r="AN120" s="36" t="n"/>
      <c r="AO120" s="36" t="n"/>
      <c r="AP120" s="36" t="n"/>
      <c r="AQ120" s="36" t="n"/>
      <c r="AR120" s="36" t="n"/>
      <c r="AS120" s="36" t="n"/>
      <c r="AT120" s="36" t="n"/>
      <c r="AU120" s="36" t="n"/>
      <c r="AV120" s="36" t="n"/>
      <c r="AW120" s="36" t="n"/>
      <c r="AX120" s="36" t="n"/>
      <c r="AY120" s="36" t="n"/>
      <c r="AZ120" s="36" t="n"/>
      <c r="BA120" s="36" t="n"/>
      <c r="BB120" s="36" t="n"/>
      <c r="BC120" s="36" t="n"/>
      <c r="BD120" s="36" t="n"/>
      <c r="BE120" s="36" t="n"/>
      <c r="BF120" s="36" t="n"/>
      <c r="BG120" s="36" t="n"/>
      <c r="BH120" s="36" t="n"/>
      <c r="BI120" s="36" t="n"/>
      <c r="BJ120" s="36" t="n"/>
      <c r="BK120" s="36" t="n"/>
      <c r="BL120" s="36" t="n"/>
      <c r="BM120" s="36" t="n"/>
      <c r="BN120" s="36" t="n"/>
      <c r="BO120" s="36" t="n"/>
      <c r="BP120" s="36" t="n"/>
      <c r="BQ120" s="36" t="n"/>
      <c r="BR120" s="36" t="n"/>
      <c r="BS120" s="36" t="n"/>
      <c r="BT120" s="36" t="n"/>
      <c r="BU120" s="36" t="n"/>
      <c r="BV120" s="36" t="n"/>
      <c r="BW120" s="36" t="n"/>
      <c r="BX120" s="36" t="n"/>
      <c r="BY120" s="36" t="n"/>
      <c r="BZ120" s="36" t="n"/>
      <c r="CA120" s="36" t="n"/>
      <c r="CB120" s="36" t="n"/>
      <c r="CC120" s="36" t="n"/>
      <c r="CD120" s="36" t="n"/>
      <c r="CE120" s="36" t="n"/>
      <c r="CF120" s="36" t="n"/>
      <c r="CG120" s="36" t="n"/>
      <c r="CH120" s="36" t="n"/>
      <c r="CI120" s="36" t="n"/>
      <c r="CJ120" s="36" t="n"/>
      <c r="CK120" s="36" t="n"/>
      <c r="CL120" s="36" t="n"/>
      <c r="CM120" s="36" t="n"/>
      <c r="CN120" s="2" t="n"/>
      <c r="CO120" s="2" t="n"/>
      <c r="CP120" s="2" t="n"/>
      <c r="CQ120" s="2" t="n"/>
      <c r="CR120" s="2" t="n"/>
      <c r="CS120" s="2" t="n"/>
      <c r="CT120" s="2" t="n"/>
      <c r="CU120" s="2" t="n"/>
      <c r="CV120" s="2" t="n"/>
      <c r="CW120" s="2" t="n"/>
      <c r="CX120" s="2" t="n"/>
      <c r="CY120" s="2" t="n"/>
      <c r="CZ120" s="2" t="n"/>
      <c r="DA120" s="2" t="n"/>
      <c r="DB120" s="2" t="n"/>
      <c r="DC120" s="2" t="n"/>
      <c r="DD120" s="2" t="n"/>
      <c r="DE120" s="2" t="n"/>
      <c r="DF120" s="2" t="n"/>
      <c r="DG120" s="2" t="n"/>
      <c r="DH120" s="2" t="n"/>
    </row>
    <row r="121" ht="45" customFormat="1" customHeight="1" s="76">
      <c r="A121" s="34" t="n"/>
      <c r="B121" s="34" t="n"/>
      <c r="C121" s="45" t="n"/>
      <c r="D121" s="36" t="n"/>
      <c r="E121" s="36" t="n"/>
      <c r="F121" s="36" t="n"/>
      <c r="G121" s="36" t="n"/>
      <c r="H121" s="36" t="n"/>
      <c r="I121" s="36" t="n"/>
      <c r="J121" s="36" t="n"/>
      <c r="K121" s="36" t="n"/>
      <c r="L121" s="36" t="n"/>
      <c r="M121" s="36" t="n"/>
      <c r="N121" s="36" t="n"/>
      <c r="O121" s="36" t="n"/>
      <c r="P121" s="36" t="n"/>
      <c r="Q121" s="36" t="n"/>
      <c r="R121" s="36" t="n"/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  <c r="AB121" s="36" t="n"/>
      <c r="AC121" s="36" t="n"/>
      <c r="AD121" s="36" t="n"/>
      <c r="AE121" s="36" t="n"/>
      <c r="AF121" s="36" t="n"/>
      <c r="AG121" s="36" t="n"/>
      <c r="AH121" s="36" t="n"/>
      <c r="AI121" s="36" t="n"/>
      <c r="AJ121" s="36" t="n"/>
      <c r="AK121" s="36" t="n"/>
      <c r="AL121" s="36" t="n"/>
      <c r="AM121" s="36" t="n"/>
      <c r="AN121" s="36" t="n"/>
      <c r="AO121" s="36" t="n"/>
      <c r="AP121" s="36" t="n"/>
      <c r="AQ121" s="36" t="n"/>
      <c r="AR121" s="36" t="n"/>
      <c r="AS121" s="36" t="n"/>
      <c r="AT121" s="36" t="n"/>
      <c r="AU121" s="36" t="n"/>
      <c r="AV121" s="36" t="n"/>
      <c r="AW121" s="36" t="n"/>
      <c r="AX121" s="36" t="n"/>
      <c r="AY121" s="36" t="n"/>
      <c r="AZ121" s="36" t="n"/>
      <c r="BA121" s="36" t="n"/>
      <c r="BB121" s="36" t="n"/>
      <c r="BC121" s="36" t="n"/>
      <c r="BD121" s="36" t="n"/>
      <c r="BE121" s="36" t="n"/>
      <c r="BF121" s="36" t="n"/>
      <c r="BG121" s="36" t="n"/>
      <c r="BH121" s="36" t="n"/>
      <c r="BI121" s="36" t="n"/>
      <c r="BJ121" s="36" t="n"/>
      <c r="BK121" s="36" t="n"/>
      <c r="BL121" s="36" t="n"/>
      <c r="BM121" s="36" t="n"/>
      <c r="BN121" s="36" t="n"/>
      <c r="BO121" s="36" t="n"/>
      <c r="BP121" s="36" t="n"/>
      <c r="BQ121" s="36" t="n"/>
      <c r="BR121" s="36" t="n"/>
      <c r="BS121" s="36" t="n"/>
      <c r="BT121" s="36" t="n"/>
      <c r="BU121" s="36" t="n"/>
      <c r="BV121" s="36" t="n"/>
      <c r="BW121" s="36" t="n"/>
      <c r="BX121" s="36" t="n"/>
      <c r="BY121" s="36" t="n"/>
      <c r="BZ121" s="36" t="n"/>
      <c r="CA121" s="36" t="n"/>
      <c r="CB121" s="36" t="n"/>
      <c r="CC121" s="36" t="n"/>
      <c r="CD121" s="36" t="n"/>
      <c r="CE121" s="36" t="n"/>
      <c r="CF121" s="36" t="n"/>
      <c r="CG121" s="36" t="n"/>
      <c r="CH121" s="36" t="n"/>
      <c r="CI121" s="36" t="n"/>
      <c r="CJ121" s="36" t="n"/>
      <c r="CK121" s="36" t="n"/>
      <c r="CL121" s="36" t="n"/>
      <c r="CM121" s="36" t="n"/>
      <c r="CN121" s="2" t="n"/>
      <c r="CO121" s="2" t="n"/>
      <c r="CP121" s="2" t="n"/>
      <c r="CQ121" s="2" t="n"/>
      <c r="CR121" s="2" t="n"/>
      <c r="CS121" s="2" t="n"/>
      <c r="CT121" s="2" t="n"/>
      <c r="CU121" s="2" t="n"/>
      <c r="CV121" s="2" t="n"/>
      <c r="CW121" s="2" t="n"/>
      <c r="CX121" s="2" t="n"/>
      <c r="CY121" s="2" t="n"/>
      <c r="CZ121" s="2" t="n"/>
      <c r="DA121" s="2" t="n"/>
      <c r="DB121" s="2" t="n"/>
      <c r="DC121" s="2" t="n"/>
      <c r="DD121" s="2" t="n"/>
      <c r="DE121" s="2" t="n"/>
      <c r="DF121" s="2" t="n"/>
      <c r="DG121" s="2" t="n"/>
      <c r="DH121" s="2" t="n"/>
    </row>
    <row r="122" ht="45" customFormat="1" customHeight="1" s="76">
      <c r="A122" s="34" t="n"/>
      <c r="B122" s="34" t="n"/>
      <c r="C122" s="45" t="n"/>
      <c r="D122" s="36" t="n"/>
      <c r="E122" s="36" t="n"/>
      <c r="F122" s="36" t="n"/>
      <c r="G122" s="36" t="n"/>
      <c r="H122" s="36" t="n"/>
      <c r="I122" s="36" t="n"/>
      <c r="J122" s="36" t="n"/>
      <c r="K122" s="36" t="n"/>
      <c r="L122" s="36" t="n"/>
      <c r="M122" s="36" t="n"/>
      <c r="N122" s="36" t="n"/>
      <c r="O122" s="36" t="n"/>
      <c r="P122" s="36" t="n"/>
      <c r="Q122" s="36" t="n"/>
      <c r="R122" s="36" t="n"/>
      <c r="S122" s="36" t="n"/>
      <c r="T122" s="36" t="n"/>
      <c r="U122" s="36" t="n"/>
      <c r="V122" s="36" t="n"/>
      <c r="W122" s="36" t="n"/>
      <c r="X122" s="36" t="n"/>
      <c r="Y122" s="36" t="n"/>
      <c r="Z122" s="36" t="n"/>
      <c r="AA122" s="36" t="n"/>
      <c r="AB122" s="36" t="n"/>
      <c r="AC122" s="36" t="n"/>
      <c r="AD122" s="36" t="n"/>
      <c r="AE122" s="36" t="n"/>
      <c r="AF122" s="36" t="n"/>
      <c r="AG122" s="36" t="n"/>
      <c r="AH122" s="36" t="n"/>
      <c r="AI122" s="36" t="n"/>
      <c r="AJ122" s="36" t="n"/>
      <c r="AK122" s="36" t="n"/>
      <c r="AL122" s="36" t="n"/>
      <c r="AM122" s="36" t="n"/>
      <c r="AN122" s="36" t="n"/>
      <c r="AO122" s="36" t="n"/>
      <c r="AP122" s="36" t="n"/>
      <c r="AQ122" s="36" t="n"/>
      <c r="AR122" s="36" t="n"/>
      <c r="AS122" s="36" t="n"/>
      <c r="AT122" s="36" t="n"/>
      <c r="AU122" s="36" t="n"/>
      <c r="AV122" s="36" t="n"/>
      <c r="AW122" s="36" t="n"/>
      <c r="AX122" s="36" t="n"/>
      <c r="AY122" s="36" t="n"/>
      <c r="AZ122" s="36" t="n"/>
      <c r="BA122" s="36" t="n"/>
      <c r="BB122" s="36" t="n"/>
      <c r="BC122" s="36" t="n"/>
      <c r="BD122" s="36" t="n"/>
      <c r="BE122" s="36" t="n"/>
      <c r="BF122" s="36" t="n"/>
      <c r="BG122" s="36" t="n"/>
      <c r="BH122" s="36" t="n"/>
      <c r="BI122" s="36" t="n"/>
      <c r="BJ122" s="36" t="n"/>
      <c r="BK122" s="36" t="n"/>
      <c r="BL122" s="36" t="n"/>
      <c r="BM122" s="36" t="n"/>
      <c r="BN122" s="36" t="n"/>
      <c r="BO122" s="36" t="n"/>
      <c r="BP122" s="36" t="n"/>
      <c r="BQ122" s="36" t="n"/>
      <c r="BR122" s="36" t="n"/>
      <c r="BS122" s="36" t="n"/>
      <c r="BT122" s="36" t="n"/>
      <c r="BU122" s="36" t="n"/>
      <c r="BV122" s="36" t="n"/>
      <c r="BW122" s="36" t="n"/>
      <c r="BX122" s="36" t="n"/>
      <c r="BY122" s="36" t="n"/>
      <c r="BZ122" s="36" t="n"/>
      <c r="CA122" s="36" t="n"/>
      <c r="CB122" s="36" t="n"/>
      <c r="CC122" s="36" t="n"/>
      <c r="CD122" s="36" t="n"/>
      <c r="CE122" s="36" t="n"/>
      <c r="CF122" s="36" t="n"/>
      <c r="CG122" s="36" t="n"/>
      <c r="CH122" s="36" t="n"/>
      <c r="CI122" s="36" t="n"/>
      <c r="CJ122" s="36" t="n"/>
      <c r="CK122" s="36" t="n"/>
      <c r="CL122" s="36" t="n"/>
      <c r="CM122" s="36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/>
      <c r="DE122" s="2" t="n"/>
      <c r="DF122" s="2" t="n"/>
      <c r="DG122" s="2" t="n"/>
      <c r="DH122" s="2" t="n"/>
    </row>
    <row r="123" ht="45" customFormat="1" customHeight="1" s="76">
      <c r="A123" s="34" t="n"/>
      <c r="B123" s="34" t="n"/>
      <c r="C123" s="45" t="n"/>
      <c r="D123" s="36" t="n"/>
      <c r="E123" s="36" t="n"/>
      <c r="F123" s="36" t="n"/>
      <c r="G123" s="36" t="n"/>
      <c r="H123" s="36" t="n"/>
      <c r="I123" s="36" t="n"/>
      <c r="J123" s="36" t="n"/>
      <c r="K123" s="36" t="n"/>
      <c r="L123" s="36" t="n"/>
      <c r="M123" s="36" t="n"/>
      <c r="N123" s="36" t="n"/>
      <c r="O123" s="36" t="n"/>
      <c r="P123" s="36" t="n"/>
      <c r="Q123" s="36" t="n"/>
      <c r="R123" s="36" t="n"/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  <c r="AB123" s="36" t="n"/>
      <c r="AC123" s="36" t="n"/>
      <c r="AD123" s="36" t="n"/>
      <c r="AE123" s="36" t="n"/>
      <c r="AF123" s="36" t="n"/>
      <c r="AG123" s="36" t="n"/>
      <c r="AH123" s="36" t="n"/>
      <c r="AI123" s="36" t="n"/>
      <c r="AJ123" s="36" t="n"/>
      <c r="AK123" s="36" t="n"/>
      <c r="AL123" s="36" t="n"/>
      <c r="AM123" s="36" t="n"/>
      <c r="AN123" s="36" t="n"/>
      <c r="AO123" s="36" t="n"/>
      <c r="AP123" s="36" t="n"/>
      <c r="AQ123" s="36" t="n"/>
      <c r="AR123" s="36" t="n"/>
      <c r="AS123" s="36" t="n"/>
      <c r="AT123" s="36" t="n"/>
      <c r="AU123" s="36" t="n"/>
      <c r="AV123" s="36" t="n"/>
      <c r="AW123" s="36" t="n"/>
      <c r="AX123" s="36" t="n"/>
      <c r="AY123" s="36" t="n"/>
      <c r="AZ123" s="36" t="n"/>
      <c r="BA123" s="36" t="n"/>
      <c r="BB123" s="36" t="n"/>
      <c r="BC123" s="36" t="n"/>
      <c r="BD123" s="36" t="n"/>
      <c r="BE123" s="36" t="n"/>
      <c r="BF123" s="36" t="n"/>
      <c r="BG123" s="36" t="n"/>
      <c r="BH123" s="36" t="n"/>
      <c r="BI123" s="36" t="n"/>
      <c r="BJ123" s="36" t="n"/>
      <c r="BK123" s="36" t="n"/>
      <c r="BL123" s="36" t="n"/>
      <c r="BM123" s="36" t="n"/>
      <c r="BN123" s="36" t="n"/>
      <c r="BO123" s="36" t="n"/>
      <c r="BP123" s="36" t="n"/>
      <c r="BQ123" s="36" t="n"/>
      <c r="BR123" s="36" t="n"/>
      <c r="BS123" s="36" t="n"/>
      <c r="BT123" s="36" t="n"/>
      <c r="BU123" s="36" t="n"/>
      <c r="BV123" s="36" t="n"/>
      <c r="BW123" s="36" t="n"/>
      <c r="BX123" s="36" t="n"/>
      <c r="BY123" s="36" t="n"/>
      <c r="BZ123" s="36" t="n"/>
      <c r="CA123" s="36" t="n"/>
      <c r="CB123" s="36" t="n"/>
      <c r="CC123" s="36" t="n"/>
      <c r="CD123" s="36" t="n"/>
      <c r="CE123" s="36" t="n"/>
      <c r="CF123" s="36" t="n"/>
      <c r="CG123" s="36" t="n"/>
      <c r="CH123" s="36" t="n"/>
      <c r="CI123" s="36" t="n"/>
      <c r="CJ123" s="36" t="n"/>
      <c r="CK123" s="36" t="n"/>
      <c r="CL123" s="36" t="n"/>
      <c r="CM123" s="36" t="n"/>
      <c r="CN123" s="2" t="n"/>
      <c r="CO123" s="2" t="n"/>
      <c r="CP123" s="2" t="n"/>
      <c r="CQ123" s="2" t="n"/>
      <c r="CR123" s="2" t="n"/>
      <c r="CS123" s="2" t="n"/>
      <c r="CT123" s="2" t="n"/>
      <c r="CU123" s="2" t="n"/>
      <c r="CV123" s="2" t="n"/>
      <c r="CW123" s="2" t="n"/>
      <c r="CX123" s="2" t="n"/>
      <c r="CY123" s="2" t="n"/>
      <c r="CZ123" s="2" t="n"/>
      <c r="DA123" s="2" t="n"/>
      <c r="DB123" s="2" t="n"/>
      <c r="DC123" s="2" t="n"/>
      <c r="DD123" s="2" t="n"/>
      <c r="DE123" s="2" t="n"/>
      <c r="DF123" s="2" t="n"/>
      <c r="DG123" s="2" t="n"/>
      <c r="DH123" s="2" t="n"/>
    </row>
    <row r="124" ht="45" customFormat="1" customHeight="1" s="76">
      <c r="A124" s="34" t="n"/>
      <c r="B124" s="34" t="n"/>
      <c r="C124" s="45" t="n"/>
      <c r="D124" s="36" t="n"/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  <c r="AB124" s="36" t="n"/>
      <c r="AC124" s="36" t="n"/>
      <c r="AD124" s="36" t="n"/>
      <c r="AE124" s="36" t="n"/>
      <c r="AF124" s="36" t="n"/>
      <c r="AG124" s="36" t="n"/>
      <c r="AH124" s="36" t="n"/>
      <c r="AI124" s="36" t="n"/>
      <c r="AJ124" s="36" t="n"/>
      <c r="AK124" s="36" t="n"/>
      <c r="AL124" s="36" t="n"/>
      <c r="AM124" s="36" t="n"/>
      <c r="AN124" s="36" t="n"/>
      <c r="AO124" s="36" t="n"/>
      <c r="AP124" s="36" t="n"/>
      <c r="AQ124" s="36" t="n"/>
      <c r="AR124" s="36" t="n"/>
      <c r="AS124" s="36" t="n"/>
      <c r="AT124" s="36" t="n"/>
      <c r="AU124" s="36" t="n"/>
      <c r="AV124" s="36" t="n"/>
      <c r="AW124" s="36" t="n"/>
      <c r="AX124" s="36" t="n"/>
      <c r="AY124" s="36" t="n"/>
      <c r="AZ124" s="36" t="n"/>
      <c r="BA124" s="36" t="n"/>
      <c r="BB124" s="36" t="n"/>
      <c r="BC124" s="36" t="n"/>
      <c r="BD124" s="36" t="n"/>
      <c r="BE124" s="36" t="n"/>
      <c r="BF124" s="36" t="n"/>
      <c r="BG124" s="36" t="n"/>
      <c r="BH124" s="36" t="n"/>
      <c r="BI124" s="36" t="n"/>
      <c r="BJ124" s="36" t="n"/>
      <c r="BK124" s="36" t="n"/>
      <c r="BL124" s="36" t="n"/>
      <c r="BM124" s="36" t="n"/>
      <c r="BN124" s="36" t="n"/>
      <c r="BO124" s="36" t="n"/>
      <c r="BP124" s="36" t="n"/>
      <c r="BQ124" s="36" t="n"/>
      <c r="BR124" s="36" t="n"/>
      <c r="BS124" s="36" t="n"/>
      <c r="BT124" s="36" t="n"/>
      <c r="BU124" s="36" t="n"/>
      <c r="BV124" s="36" t="n"/>
      <c r="BW124" s="36" t="n"/>
      <c r="BX124" s="36" t="n"/>
      <c r="BY124" s="36" t="n"/>
      <c r="BZ124" s="36" t="n"/>
      <c r="CA124" s="36" t="n"/>
      <c r="CB124" s="36" t="n"/>
      <c r="CC124" s="36" t="n"/>
      <c r="CD124" s="36" t="n"/>
      <c r="CE124" s="36" t="n"/>
      <c r="CF124" s="36" t="n"/>
      <c r="CG124" s="36" t="n"/>
      <c r="CH124" s="36" t="n"/>
      <c r="CI124" s="36" t="n"/>
      <c r="CJ124" s="36" t="n"/>
      <c r="CK124" s="36" t="n"/>
      <c r="CL124" s="36" t="n"/>
      <c r="CM124" s="36" t="n"/>
      <c r="CN124" s="2" t="n"/>
      <c r="CO124" s="2" t="n"/>
      <c r="CP124" s="2" t="n"/>
      <c r="CQ124" s="2" t="n"/>
      <c r="CR124" s="2" t="n"/>
      <c r="CS124" s="2" t="n"/>
      <c r="CT124" s="2" t="n"/>
      <c r="CU124" s="2" t="n"/>
      <c r="CV124" s="2" t="n"/>
      <c r="CW124" s="2" t="n"/>
      <c r="CX124" s="2" t="n"/>
      <c r="CY124" s="2" t="n"/>
      <c r="CZ124" s="2" t="n"/>
      <c r="DA124" s="2" t="n"/>
      <c r="DB124" s="2" t="n"/>
      <c r="DC124" s="2" t="n"/>
      <c r="DD124" s="2" t="n"/>
      <c r="DE124" s="2" t="n"/>
      <c r="DF124" s="2" t="n"/>
      <c r="DG124" s="2" t="n"/>
      <c r="DH124" s="2" t="n"/>
    </row>
    <row r="125" ht="27.95" customFormat="1" customHeight="1" s="76">
      <c r="A125" s="34" t="n"/>
      <c r="B125" s="35" t="n"/>
      <c r="C125" s="46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  <c r="N125" s="41" t="n"/>
      <c r="O125" s="41" t="n"/>
      <c r="P125" s="41" t="n"/>
      <c r="Q125" s="41" t="n"/>
      <c r="R125" s="41" t="n"/>
      <c r="S125" s="41" t="n"/>
      <c r="T125" s="41" t="n"/>
      <c r="U125" s="41" t="n"/>
      <c r="V125" s="41" t="n"/>
      <c r="W125" s="41" t="n"/>
      <c r="X125" s="41" t="n"/>
      <c r="Y125" s="41" t="n"/>
      <c r="Z125" s="41" t="n"/>
      <c r="AA125" s="41" t="n"/>
      <c r="AB125" s="41" t="n"/>
      <c r="AC125" s="41" t="n"/>
      <c r="AD125" s="41" t="n"/>
      <c r="AE125" s="41" t="n"/>
      <c r="AF125" s="41" t="n"/>
      <c r="AG125" s="41" t="n"/>
      <c r="AH125" s="41" t="n"/>
      <c r="AI125" s="41" t="n"/>
      <c r="AJ125" s="41" t="n"/>
      <c r="AK125" s="41" t="n"/>
      <c r="AL125" s="41" t="n"/>
      <c r="AM125" s="41" t="n"/>
      <c r="AN125" s="41" t="n"/>
      <c r="AO125" s="41" t="n"/>
      <c r="AP125" s="41" t="n"/>
      <c r="AQ125" s="41" t="n"/>
      <c r="AR125" s="41" t="n"/>
      <c r="AS125" s="41" t="n"/>
      <c r="AT125" s="41" t="n"/>
      <c r="AU125" s="41" t="n"/>
      <c r="AV125" s="41" t="n"/>
      <c r="AW125" s="41" t="n"/>
      <c r="AX125" s="41" t="n"/>
      <c r="AY125" s="41" t="n"/>
      <c r="AZ125" s="41" t="n"/>
      <c r="BA125" s="41" t="n"/>
      <c r="BB125" s="41" t="n"/>
      <c r="BC125" s="41" t="n"/>
      <c r="BD125" s="41" t="n"/>
      <c r="BE125" s="41" t="n"/>
      <c r="BF125" s="41" t="n"/>
      <c r="BG125" s="41" t="n"/>
      <c r="BH125" s="41" t="n"/>
      <c r="BI125" s="41" t="n"/>
      <c r="BJ125" s="41" t="n"/>
      <c r="BK125" s="41" t="n"/>
      <c r="BL125" s="41" t="n"/>
      <c r="BM125" s="41" t="n"/>
      <c r="BN125" s="41" t="n"/>
      <c r="BO125" s="41" t="n"/>
      <c r="BP125" s="41" t="n"/>
      <c r="BQ125" s="41" t="n"/>
      <c r="BR125" s="41" t="n"/>
      <c r="BS125" s="41" t="n"/>
      <c r="BT125" s="41" t="n"/>
      <c r="BU125" s="41" t="n"/>
      <c r="BV125" s="41" t="n"/>
      <c r="BW125" s="41" t="n"/>
      <c r="BX125" s="41" t="n"/>
      <c r="BY125" s="41" t="n"/>
      <c r="BZ125" s="41" t="n"/>
      <c r="CA125" s="41" t="n"/>
      <c r="CB125" s="41" t="n"/>
      <c r="CC125" s="41" t="n"/>
      <c r="CD125" s="41" t="n"/>
      <c r="CE125" s="41" t="n"/>
      <c r="CF125" s="41" t="n"/>
      <c r="CG125" s="41" t="n"/>
      <c r="CH125" s="41" t="n"/>
      <c r="CI125" s="41" t="n"/>
      <c r="CJ125" s="41" t="n"/>
      <c r="CK125" s="41" t="n"/>
      <c r="CL125" s="41" t="n"/>
      <c r="CM125" s="41" t="n"/>
      <c r="CN125" s="2" t="n"/>
      <c r="CO125" s="2" t="n"/>
      <c r="CP125" s="2" t="n"/>
      <c r="CQ125" s="2" t="n"/>
      <c r="CR125" s="2" t="n"/>
      <c r="CS125" s="2" t="n"/>
      <c r="CT125" s="2" t="n"/>
      <c r="CU125" s="2" t="n"/>
      <c r="CV125" s="2" t="n"/>
      <c r="CW125" s="2" t="n"/>
      <c r="CX125" s="2" t="n"/>
      <c r="CY125" s="2" t="n"/>
      <c r="CZ125" s="2" t="n"/>
      <c r="DA125" s="2" t="n"/>
      <c r="DB125" s="2" t="n"/>
      <c r="DC125" s="2" t="n"/>
      <c r="DD125" s="2" t="n"/>
      <c r="DE125" s="2" t="n"/>
      <c r="DF125" s="2" t="n"/>
      <c r="DG125" s="2" t="n"/>
      <c r="DH125" s="2" t="n"/>
    </row>
    <row r="126" ht="45" customFormat="1" customHeight="1" s="76">
      <c r="A126" s="34" t="n"/>
      <c r="B126" s="34" t="n"/>
      <c r="C126" s="45" t="n"/>
      <c r="D126" s="36" t="n"/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  <c r="AB126" s="36" t="n"/>
      <c r="AC126" s="36" t="n"/>
      <c r="AD126" s="36" t="n"/>
      <c r="AE126" s="36" t="n"/>
      <c r="AF126" s="36" t="n"/>
      <c r="AG126" s="36" t="n"/>
      <c r="AH126" s="36" t="n"/>
      <c r="AI126" s="36" t="n"/>
      <c r="AJ126" s="36" t="n"/>
      <c r="AK126" s="36" t="n"/>
      <c r="AL126" s="36" t="n"/>
      <c r="AM126" s="36" t="n"/>
      <c r="AN126" s="36" t="n"/>
      <c r="AO126" s="36" t="n"/>
      <c r="AP126" s="36" t="n"/>
      <c r="AQ126" s="36" t="n"/>
      <c r="AR126" s="36" t="n"/>
      <c r="AS126" s="36" t="n"/>
      <c r="AT126" s="36" t="n"/>
      <c r="AU126" s="36" t="n"/>
      <c r="AV126" s="36" t="n"/>
      <c r="AW126" s="36" t="n"/>
      <c r="AX126" s="36" t="n"/>
      <c r="AY126" s="36" t="n"/>
      <c r="AZ126" s="36" t="n"/>
      <c r="BA126" s="36" t="n"/>
      <c r="BB126" s="36" t="n"/>
      <c r="BC126" s="36" t="n"/>
      <c r="BD126" s="36" t="n"/>
      <c r="BE126" s="36" t="n"/>
      <c r="BF126" s="36" t="n"/>
      <c r="BG126" s="36" t="n"/>
      <c r="BH126" s="36" t="n"/>
      <c r="BI126" s="36" t="n"/>
      <c r="BJ126" s="36" t="n"/>
      <c r="BK126" s="36" t="n"/>
      <c r="BL126" s="36" t="n"/>
      <c r="BM126" s="36" t="n"/>
      <c r="BN126" s="36" t="n"/>
      <c r="BO126" s="36" t="n"/>
      <c r="BP126" s="36" t="n"/>
      <c r="BQ126" s="36" t="n"/>
      <c r="BR126" s="36" t="n"/>
      <c r="BS126" s="36" t="n"/>
      <c r="BT126" s="36" t="n"/>
      <c r="BU126" s="36" t="n"/>
      <c r="BV126" s="36" t="n"/>
      <c r="BW126" s="36" t="n"/>
      <c r="BX126" s="36" t="n"/>
      <c r="BY126" s="36" t="n"/>
      <c r="BZ126" s="36" t="n"/>
      <c r="CA126" s="36" t="n"/>
      <c r="CB126" s="36" t="n"/>
      <c r="CC126" s="36" t="n"/>
      <c r="CD126" s="36" t="n"/>
      <c r="CE126" s="36" t="n"/>
      <c r="CF126" s="36" t="n"/>
      <c r="CG126" s="36" t="n"/>
      <c r="CH126" s="36" t="n"/>
      <c r="CI126" s="36" t="n"/>
      <c r="CJ126" s="36" t="n"/>
      <c r="CK126" s="36" t="n"/>
      <c r="CL126" s="36" t="n"/>
      <c r="CM126" s="36" t="n"/>
      <c r="CN126" s="2" t="n"/>
      <c r="CO126" s="2" t="n"/>
      <c r="CP126" s="2" t="n"/>
      <c r="CQ126" s="2" t="n"/>
      <c r="CR126" s="2" t="n"/>
      <c r="CS126" s="2" t="n"/>
      <c r="CT126" s="2" t="n"/>
      <c r="CU126" s="2" t="n"/>
      <c r="CV126" s="2" t="n"/>
      <c r="CW126" s="2" t="n"/>
      <c r="CX126" s="2" t="n"/>
      <c r="CY126" s="2" t="n"/>
      <c r="CZ126" s="2" t="n"/>
      <c r="DA126" s="2" t="n"/>
      <c r="DB126" s="2" t="n"/>
      <c r="DC126" s="2" t="n"/>
      <c r="DD126" s="2" t="n"/>
      <c r="DE126" s="2" t="n"/>
      <c r="DF126" s="2" t="n"/>
      <c r="DG126" s="2" t="n"/>
      <c r="DH126" s="2" t="n"/>
    </row>
    <row r="127" ht="45" customFormat="1" customHeight="1" s="76">
      <c r="A127" s="34" t="n"/>
      <c r="B127" s="34" t="n"/>
      <c r="C127" s="45" t="n"/>
      <c r="D127" s="36" t="n"/>
      <c r="E127" s="36" t="n"/>
      <c r="F127" s="36" t="n"/>
      <c r="G127" s="36" t="n"/>
      <c r="H127" s="36" t="n"/>
      <c r="I127" s="36" t="n"/>
      <c r="J127" s="36" t="n"/>
      <c r="K127" s="36" t="n"/>
      <c r="L127" s="36" t="n"/>
      <c r="M127" s="36" t="n"/>
      <c r="N127" s="36" t="n"/>
      <c r="O127" s="36" t="n"/>
      <c r="P127" s="36" t="n"/>
      <c r="Q127" s="36" t="n"/>
      <c r="R127" s="36" t="n"/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  <c r="AB127" s="36" t="n"/>
      <c r="AC127" s="36" t="n"/>
      <c r="AD127" s="36" t="n"/>
      <c r="AE127" s="36" t="n"/>
      <c r="AF127" s="36" t="n"/>
      <c r="AG127" s="36" t="n"/>
      <c r="AH127" s="36" t="n"/>
      <c r="AI127" s="36" t="n"/>
      <c r="AJ127" s="36" t="n"/>
      <c r="AK127" s="36" t="n"/>
      <c r="AL127" s="36" t="n"/>
      <c r="AM127" s="36" t="n"/>
      <c r="AN127" s="36" t="n"/>
      <c r="AO127" s="36" t="n"/>
      <c r="AP127" s="36" t="n"/>
      <c r="AQ127" s="36" t="n"/>
      <c r="AR127" s="36" t="n"/>
      <c r="AS127" s="36" t="n"/>
      <c r="AT127" s="36" t="n"/>
      <c r="AU127" s="36" t="n"/>
      <c r="AV127" s="36" t="n"/>
      <c r="AW127" s="36" t="n"/>
      <c r="AX127" s="36" t="n"/>
      <c r="AY127" s="36" t="n"/>
      <c r="AZ127" s="36" t="n"/>
      <c r="BA127" s="36" t="n"/>
      <c r="BB127" s="36" t="n"/>
      <c r="BC127" s="36" t="n"/>
      <c r="BD127" s="36" t="n"/>
      <c r="BE127" s="36" t="n"/>
      <c r="BF127" s="36" t="n"/>
      <c r="BG127" s="36" t="n"/>
      <c r="BH127" s="36" t="n"/>
      <c r="BI127" s="36" t="n"/>
      <c r="BJ127" s="36" t="n"/>
      <c r="BK127" s="36" t="n"/>
      <c r="BL127" s="36" t="n"/>
      <c r="BM127" s="36" t="n"/>
      <c r="BN127" s="36" t="n"/>
      <c r="BO127" s="36" t="n"/>
      <c r="BP127" s="36" t="n"/>
      <c r="BQ127" s="36" t="n"/>
      <c r="BR127" s="36" t="n"/>
      <c r="BS127" s="36" t="n"/>
      <c r="BT127" s="36" t="n"/>
      <c r="BU127" s="36" t="n"/>
      <c r="BV127" s="36" t="n"/>
      <c r="BW127" s="36" t="n"/>
      <c r="BX127" s="36" t="n"/>
      <c r="BY127" s="36" t="n"/>
      <c r="BZ127" s="36" t="n"/>
      <c r="CA127" s="36" t="n"/>
      <c r="CB127" s="36" t="n"/>
      <c r="CC127" s="36" t="n"/>
      <c r="CD127" s="36" t="n"/>
      <c r="CE127" s="36" t="n"/>
      <c r="CF127" s="36" t="n"/>
      <c r="CG127" s="36" t="n"/>
      <c r="CH127" s="36" t="n"/>
      <c r="CI127" s="36" t="n"/>
      <c r="CJ127" s="36" t="n"/>
      <c r="CK127" s="36" t="n"/>
      <c r="CL127" s="36" t="n"/>
      <c r="CM127" s="36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</row>
    <row r="128" ht="45" customFormat="1" customHeight="1" s="76">
      <c r="A128" s="35" t="n"/>
      <c r="B128" s="34" t="n"/>
      <c r="C128" s="45" t="n"/>
      <c r="D128" s="36" t="n"/>
      <c r="E128" s="36" t="n"/>
      <c r="F128" s="36" t="n"/>
      <c r="G128" s="36" t="n"/>
      <c r="H128" s="36" t="n"/>
      <c r="I128" s="36" t="n"/>
      <c r="J128" s="36" t="n"/>
      <c r="K128" s="36" t="n"/>
      <c r="L128" s="36" t="n"/>
      <c r="M128" s="36" t="n"/>
      <c r="N128" s="36" t="n"/>
      <c r="O128" s="36" t="n"/>
      <c r="P128" s="36" t="n"/>
      <c r="Q128" s="36" t="n"/>
      <c r="R128" s="36" t="n"/>
      <c r="S128" s="36" t="n"/>
      <c r="T128" s="36" t="n"/>
      <c r="U128" s="36" t="n"/>
      <c r="V128" s="36" t="n"/>
      <c r="W128" s="36" t="n"/>
      <c r="X128" s="36" t="n"/>
      <c r="Y128" s="36" t="n"/>
      <c r="Z128" s="36" t="n"/>
      <c r="AA128" s="36" t="n"/>
      <c r="AB128" s="36" t="n"/>
      <c r="AC128" s="36" t="n"/>
      <c r="AD128" s="36" t="n"/>
      <c r="AE128" s="36" t="n"/>
      <c r="AF128" s="36" t="n"/>
      <c r="AG128" s="36" t="n"/>
      <c r="AH128" s="36" t="n"/>
      <c r="AI128" s="36" t="n"/>
      <c r="AJ128" s="36" t="n"/>
      <c r="AK128" s="36" t="n"/>
      <c r="AL128" s="36" t="n"/>
      <c r="AM128" s="36" t="n"/>
      <c r="AN128" s="36" t="n"/>
      <c r="AO128" s="36" t="n"/>
      <c r="AP128" s="36" t="n"/>
      <c r="AQ128" s="36" t="n"/>
      <c r="AR128" s="36" t="n"/>
      <c r="AS128" s="36" t="n"/>
      <c r="AT128" s="36" t="n"/>
      <c r="AU128" s="36" t="n"/>
      <c r="AV128" s="36" t="n"/>
      <c r="AW128" s="36" t="n"/>
      <c r="AX128" s="36" t="n"/>
      <c r="AY128" s="36" t="n"/>
      <c r="AZ128" s="36" t="n"/>
      <c r="BA128" s="36" t="n"/>
      <c r="BB128" s="36" t="n"/>
      <c r="BC128" s="36" t="n"/>
      <c r="BD128" s="36" t="n"/>
      <c r="BE128" s="36" t="n"/>
      <c r="BF128" s="36" t="n"/>
      <c r="BG128" s="36" t="n"/>
      <c r="BH128" s="36" t="n"/>
      <c r="BI128" s="36" t="n"/>
      <c r="BJ128" s="36" t="n"/>
      <c r="BK128" s="36" t="n"/>
      <c r="BL128" s="36" t="n"/>
      <c r="BM128" s="36" t="n"/>
      <c r="BN128" s="36" t="n"/>
      <c r="BO128" s="36" t="n"/>
      <c r="BP128" s="36" t="n"/>
      <c r="BQ128" s="36" t="n"/>
      <c r="BR128" s="36" t="n"/>
      <c r="BS128" s="36" t="n"/>
      <c r="BT128" s="36" t="n"/>
      <c r="BU128" s="36" t="n"/>
      <c r="BV128" s="36" t="n"/>
      <c r="BW128" s="36" t="n"/>
      <c r="BX128" s="36" t="n"/>
      <c r="BY128" s="36" t="n"/>
      <c r="BZ128" s="36" t="n"/>
      <c r="CA128" s="36" t="n"/>
      <c r="CB128" s="36" t="n"/>
      <c r="CC128" s="36" t="n"/>
      <c r="CD128" s="36" t="n"/>
      <c r="CE128" s="36" t="n"/>
      <c r="CF128" s="36" t="n"/>
      <c r="CG128" s="36" t="n"/>
      <c r="CH128" s="36" t="n"/>
      <c r="CI128" s="36" t="n"/>
      <c r="CJ128" s="36" t="n"/>
      <c r="CK128" s="36" t="n"/>
      <c r="CL128" s="36" t="n"/>
      <c r="CM128" s="36" t="n"/>
      <c r="CN128" s="2" t="n"/>
      <c r="CO128" s="2" t="n"/>
      <c r="CP128" s="2" t="n"/>
      <c r="CQ128" s="2" t="n"/>
      <c r="CR128" s="2" t="n"/>
      <c r="CS128" s="2" t="n"/>
      <c r="CT128" s="2" t="n"/>
      <c r="CU128" s="2" t="n"/>
      <c r="CV128" s="2" t="n"/>
      <c r="CW128" s="2" t="n"/>
      <c r="CX128" s="2" t="n"/>
      <c r="CY128" s="2" t="n"/>
      <c r="CZ128" s="2" t="n"/>
      <c r="DA128" s="2" t="n"/>
      <c r="DB128" s="2" t="n"/>
      <c r="DC128" s="2" t="n"/>
      <c r="DD128" s="2" t="n"/>
      <c r="DE128" s="2" t="n"/>
      <c r="DF128" s="2" t="n"/>
      <c r="DG128" s="2" t="n"/>
      <c r="DH128" s="2" t="n"/>
    </row>
    <row r="129" ht="45" customFormat="1" customHeight="1" s="76">
      <c r="A129" s="34" t="n"/>
      <c r="B129" s="34" t="n"/>
      <c r="C129" s="45" t="n"/>
      <c r="D129" s="36" t="n"/>
      <c r="E129" s="36" t="n"/>
      <c r="F129" s="36" t="n"/>
      <c r="G129" s="36" t="n"/>
      <c r="H129" s="36" t="n"/>
      <c r="I129" s="36" t="n"/>
      <c r="J129" s="36" t="n"/>
      <c r="K129" s="36" t="n"/>
      <c r="L129" s="36" t="n"/>
      <c r="M129" s="36" t="n"/>
      <c r="N129" s="36" t="n"/>
      <c r="O129" s="36" t="n"/>
      <c r="P129" s="36" t="n"/>
      <c r="Q129" s="36" t="n"/>
      <c r="R129" s="36" t="n"/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  <c r="AB129" s="36" t="n"/>
      <c r="AC129" s="36" t="n"/>
      <c r="AD129" s="36" t="n"/>
      <c r="AE129" s="36" t="n"/>
      <c r="AF129" s="36" t="n"/>
      <c r="AG129" s="36" t="n"/>
      <c r="AH129" s="36" t="n"/>
      <c r="AI129" s="36" t="n"/>
      <c r="AJ129" s="36" t="n"/>
      <c r="AK129" s="36" t="n"/>
      <c r="AL129" s="36" t="n"/>
      <c r="AM129" s="36" t="n"/>
      <c r="AN129" s="36" t="n"/>
      <c r="AO129" s="36" t="n"/>
      <c r="AP129" s="36" t="n"/>
      <c r="AQ129" s="36" t="n"/>
      <c r="AR129" s="36" t="n"/>
      <c r="AS129" s="36" t="n"/>
      <c r="AT129" s="36" t="n"/>
      <c r="AU129" s="36" t="n"/>
      <c r="AV129" s="36" t="n"/>
      <c r="AW129" s="36" t="n"/>
      <c r="AX129" s="36" t="n"/>
      <c r="AY129" s="36" t="n"/>
      <c r="AZ129" s="36" t="n"/>
      <c r="BA129" s="36" t="n"/>
      <c r="BB129" s="36" t="n"/>
      <c r="BC129" s="36" t="n"/>
      <c r="BD129" s="36" t="n"/>
      <c r="BE129" s="36" t="n"/>
      <c r="BF129" s="36" t="n"/>
      <c r="BG129" s="36" t="n"/>
      <c r="BH129" s="36" t="n"/>
      <c r="BI129" s="36" t="n"/>
      <c r="BJ129" s="36" t="n"/>
      <c r="BK129" s="36" t="n"/>
      <c r="BL129" s="36" t="n"/>
      <c r="BM129" s="36" t="n"/>
      <c r="BN129" s="36" t="n"/>
      <c r="BO129" s="36" t="n"/>
      <c r="BP129" s="36" t="n"/>
      <c r="BQ129" s="36" t="n"/>
      <c r="BR129" s="36" t="n"/>
      <c r="BS129" s="36" t="n"/>
      <c r="BT129" s="36" t="n"/>
      <c r="BU129" s="36" t="n"/>
      <c r="BV129" s="36" t="n"/>
      <c r="BW129" s="36" t="n"/>
      <c r="BX129" s="36" t="n"/>
      <c r="BY129" s="36" t="n"/>
      <c r="BZ129" s="36" t="n"/>
      <c r="CA129" s="36" t="n"/>
      <c r="CB129" s="36" t="n"/>
      <c r="CC129" s="36" t="n"/>
      <c r="CD129" s="36" t="n"/>
      <c r="CE129" s="36" t="n"/>
      <c r="CF129" s="36" t="n"/>
      <c r="CG129" s="36" t="n"/>
      <c r="CH129" s="36" t="n"/>
      <c r="CI129" s="36" t="n"/>
      <c r="CJ129" s="36" t="n"/>
      <c r="CK129" s="36" t="n"/>
      <c r="CL129" s="36" t="n"/>
      <c r="CM129" s="36" t="n"/>
      <c r="CN129" s="2" t="n"/>
      <c r="CO129" s="2" t="n"/>
      <c r="CP129" s="2" t="n"/>
      <c r="CQ129" s="2" t="n"/>
      <c r="CR129" s="2" t="n"/>
      <c r="CS129" s="2" t="n"/>
      <c r="CT129" s="2" t="n"/>
      <c r="CU129" s="2" t="n"/>
      <c r="CV129" s="2" t="n"/>
      <c r="CW129" s="2" t="n"/>
      <c r="CX129" s="2" t="n"/>
      <c r="CY129" s="2" t="n"/>
      <c r="CZ129" s="2" t="n"/>
      <c r="DA129" s="2" t="n"/>
      <c r="DB129" s="2" t="n"/>
      <c r="DC129" s="2" t="n"/>
      <c r="DD129" s="2" t="n"/>
      <c r="DE129" s="2" t="n"/>
      <c r="DF129" s="2" t="n"/>
      <c r="DG129" s="2" t="n"/>
      <c r="DH129" s="2" t="n"/>
    </row>
    <row r="130" ht="45" customFormat="1" customHeight="1" s="76">
      <c r="A130" s="34" t="n"/>
      <c r="B130" s="34" t="n"/>
      <c r="C130" s="45" t="n"/>
      <c r="D130" s="36" t="n"/>
      <c r="E130" s="36" t="n"/>
      <c r="F130" s="36" t="n"/>
      <c r="G130" s="36" t="n"/>
      <c r="H130" s="36" t="n"/>
      <c r="I130" s="36" t="n"/>
      <c r="J130" s="36" t="n"/>
      <c r="K130" s="36" t="n"/>
      <c r="L130" s="36" t="n"/>
      <c r="M130" s="36" t="n"/>
      <c r="N130" s="36" t="n"/>
      <c r="O130" s="36" t="n"/>
      <c r="P130" s="36" t="n"/>
      <c r="Q130" s="36" t="n"/>
      <c r="R130" s="36" t="n"/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  <c r="AB130" s="36" t="n"/>
      <c r="AC130" s="36" t="n"/>
      <c r="AD130" s="36" t="n"/>
      <c r="AE130" s="36" t="n"/>
      <c r="AF130" s="36" t="n"/>
      <c r="AG130" s="36" t="n"/>
      <c r="AH130" s="36" t="n"/>
      <c r="AI130" s="36" t="n"/>
      <c r="AJ130" s="36" t="n"/>
      <c r="AK130" s="36" t="n"/>
      <c r="AL130" s="36" t="n"/>
      <c r="AM130" s="36" t="n"/>
      <c r="AN130" s="36" t="n"/>
      <c r="AO130" s="36" t="n"/>
      <c r="AP130" s="36" t="n"/>
      <c r="AQ130" s="36" t="n"/>
      <c r="AR130" s="36" t="n"/>
      <c r="AS130" s="36" t="n"/>
      <c r="AT130" s="36" t="n"/>
      <c r="AU130" s="36" t="n"/>
      <c r="AV130" s="36" t="n"/>
      <c r="AW130" s="36" t="n"/>
      <c r="AX130" s="36" t="n"/>
      <c r="AY130" s="36" t="n"/>
      <c r="AZ130" s="36" t="n"/>
      <c r="BA130" s="36" t="n"/>
      <c r="BB130" s="36" t="n"/>
      <c r="BC130" s="36" t="n"/>
      <c r="BD130" s="36" t="n"/>
      <c r="BE130" s="36" t="n"/>
      <c r="BF130" s="36" t="n"/>
      <c r="BG130" s="36" t="n"/>
      <c r="BH130" s="36" t="n"/>
      <c r="BI130" s="36" t="n"/>
      <c r="BJ130" s="36" t="n"/>
      <c r="BK130" s="36" t="n"/>
      <c r="BL130" s="36" t="n"/>
      <c r="BM130" s="36" t="n"/>
      <c r="BN130" s="36" t="n"/>
      <c r="BO130" s="36" t="n"/>
      <c r="BP130" s="36" t="n"/>
      <c r="BQ130" s="36" t="n"/>
      <c r="BR130" s="36" t="n"/>
      <c r="BS130" s="36" t="n"/>
      <c r="BT130" s="36" t="n"/>
      <c r="BU130" s="36" t="n"/>
      <c r="BV130" s="36" t="n"/>
      <c r="BW130" s="36" t="n"/>
      <c r="BX130" s="36" t="n"/>
      <c r="BY130" s="36" t="n"/>
      <c r="BZ130" s="36" t="n"/>
      <c r="CA130" s="36" t="n"/>
      <c r="CB130" s="36" t="n"/>
      <c r="CC130" s="36" t="n"/>
      <c r="CD130" s="36" t="n"/>
      <c r="CE130" s="36" t="n"/>
      <c r="CF130" s="36" t="n"/>
      <c r="CG130" s="36" t="n"/>
      <c r="CH130" s="36" t="n"/>
      <c r="CI130" s="36" t="n"/>
      <c r="CJ130" s="36" t="n"/>
      <c r="CK130" s="36" t="n"/>
      <c r="CL130" s="36" t="n"/>
      <c r="CM130" s="36" t="n"/>
      <c r="CN130" s="2" t="n"/>
      <c r="CO130" s="2" t="n"/>
      <c r="CP130" s="2" t="n"/>
      <c r="CQ130" s="2" t="n"/>
      <c r="CR130" s="2" t="n"/>
      <c r="CS130" s="2" t="n"/>
      <c r="CT130" s="2" t="n"/>
      <c r="CU130" s="2" t="n"/>
      <c r="CV130" s="2" t="n"/>
      <c r="CW130" s="2" t="n"/>
      <c r="CX130" s="2" t="n"/>
      <c r="CY130" s="2" t="n"/>
      <c r="CZ130" s="2" t="n"/>
      <c r="DA130" s="2" t="n"/>
      <c r="DB130" s="2" t="n"/>
      <c r="DC130" s="2" t="n"/>
      <c r="DD130" s="2" t="n"/>
      <c r="DE130" s="2" t="n"/>
      <c r="DF130" s="2" t="n"/>
      <c r="DG130" s="2" t="n"/>
      <c r="DH130" s="2" t="n"/>
    </row>
    <row r="131" ht="45" customFormat="1" customHeight="1" s="76">
      <c r="A131" s="34" t="n"/>
      <c r="B131" s="34" t="n"/>
      <c r="C131" s="45" t="n"/>
      <c r="D131" s="36" t="n"/>
      <c r="E131" s="36" t="n"/>
      <c r="F131" s="36" t="n"/>
      <c r="G131" s="36" t="n"/>
      <c r="H131" s="36" t="n"/>
      <c r="I131" s="36" t="n"/>
      <c r="J131" s="36" t="n"/>
      <c r="K131" s="36" t="n"/>
      <c r="L131" s="36" t="n"/>
      <c r="M131" s="36" t="n"/>
      <c r="N131" s="36" t="n"/>
      <c r="O131" s="36" t="n"/>
      <c r="P131" s="36" t="n"/>
      <c r="Q131" s="36" t="n"/>
      <c r="R131" s="36" t="n"/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  <c r="AB131" s="36" t="n"/>
      <c r="AC131" s="36" t="n"/>
      <c r="AD131" s="36" t="n"/>
      <c r="AE131" s="36" t="n"/>
      <c r="AF131" s="36" t="n"/>
      <c r="AG131" s="36" t="n"/>
      <c r="AH131" s="36" t="n"/>
      <c r="AI131" s="36" t="n"/>
      <c r="AJ131" s="36" t="n"/>
      <c r="AK131" s="36" t="n"/>
      <c r="AL131" s="36" t="n"/>
      <c r="AM131" s="36" t="n"/>
      <c r="AN131" s="36" t="n"/>
      <c r="AO131" s="36" t="n"/>
      <c r="AP131" s="36" t="n"/>
      <c r="AQ131" s="36" t="n"/>
      <c r="AR131" s="36" t="n"/>
      <c r="AS131" s="36" t="n"/>
      <c r="AT131" s="36" t="n"/>
      <c r="AU131" s="36" t="n"/>
      <c r="AV131" s="36" t="n"/>
      <c r="AW131" s="36" t="n"/>
      <c r="AX131" s="36" t="n"/>
      <c r="AY131" s="36" t="n"/>
      <c r="AZ131" s="36" t="n"/>
      <c r="BA131" s="36" t="n"/>
      <c r="BB131" s="36" t="n"/>
      <c r="BC131" s="36" t="n"/>
      <c r="BD131" s="36" t="n"/>
      <c r="BE131" s="36" t="n"/>
      <c r="BF131" s="36" t="n"/>
      <c r="BG131" s="36" t="n"/>
      <c r="BH131" s="36" t="n"/>
      <c r="BI131" s="36" t="n"/>
      <c r="BJ131" s="36" t="n"/>
      <c r="BK131" s="36" t="n"/>
      <c r="BL131" s="36" t="n"/>
      <c r="BM131" s="36" t="n"/>
      <c r="BN131" s="36" t="n"/>
      <c r="BO131" s="36" t="n"/>
      <c r="BP131" s="36" t="n"/>
      <c r="BQ131" s="36" t="n"/>
      <c r="BR131" s="36" t="n"/>
      <c r="BS131" s="36" t="n"/>
      <c r="BT131" s="36" t="n"/>
      <c r="BU131" s="36" t="n"/>
      <c r="BV131" s="36" t="n"/>
      <c r="BW131" s="36" t="n"/>
      <c r="BX131" s="36" t="n"/>
      <c r="BY131" s="36" t="n"/>
      <c r="BZ131" s="36" t="n"/>
      <c r="CA131" s="36" t="n"/>
      <c r="CB131" s="36" t="n"/>
      <c r="CC131" s="36" t="n"/>
      <c r="CD131" s="36" t="n"/>
      <c r="CE131" s="36" t="n"/>
      <c r="CF131" s="36" t="n"/>
      <c r="CG131" s="36" t="n"/>
      <c r="CH131" s="36" t="n"/>
      <c r="CI131" s="36" t="n"/>
      <c r="CJ131" s="36" t="n"/>
      <c r="CK131" s="36" t="n"/>
      <c r="CL131" s="36" t="n"/>
      <c r="CM131" s="36" t="n"/>
      <c r="CN131" s="2" t="n"/>
      <c r="CO131" s="2" t="n"/>
      <c r="CP131" s="2" t="n"/>
      <c r="CQ131" s="2" t="n"/>
      <c r="CR131" s="2" t="n"/>
      <c r="CS131" s="2" t="n"/>
      <c r="CT131" s="2" t="n"/>
      <c r="CU131" s="2" t="n"/>
      <c r="CV131" s="2" t="n"/>
      <c r="CW131" s="2" t="n"/>
      <c r="CX131" s="2" t="n"/>
      <c r="CY131" s="2" t="n"/>
      <c r="CZ131" s="2" t="n"/>
      <c r="DA131" s="2" t="n"/>
      <c r="DB131" s="2" t="n"/>
      <c r="DC131" s="2" t="n"/>
      <c r="DD131" s="2" t="n"/>
      <c r="DE131" s="2" t="n"/>
      <c r="DF131" s="2" t="n"/>
      <c r="DG131" s="2" t="n"/>
      <c r="DH131" s="2" t="n"/>
    </row>
    <row r="132" ht="27.95" customFormat="1" customHeight="1" s="76">
      <c r="A132" s="34" t="n"/>
      <c r="B132" s="35" t="n"/>
      <c r="C132" s="46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  <c r="AA132" s="42" t="n"/>
      <c r="AB132" s="42" t="n"/>
      <c r="AC132" s="42" t="n"/>
      <c r="AD132" s="42" t="n"/>
      <c r="AE132" s="42" t="n"/>
      <c r="AF132" s="42" t="n"/>
      <c r="AG132" s="42" t="n"/>
      <c r="AH132" s="42" t="n"/>
      <c r="AI132" s="42" t="n"/>
      <c r="AJ132" s="42" t="n"/>
      <c r="AK132" s="42" t="n"/>
      <c r="AL132" s="42" t="n"/>
      <c r="AM132" s="42" t="n"/>
      <c r="AN132" s="42" t="n"/>
      <c r="AO132" s="42" t="n"/>
      <c r="AP132" s="42" t="n"/>
      <c r="AQ132" s="42" t="n"/>
      <c r="AR132" s="42" t="n"/>
      <c r="AS132" s="42" t="n"/>
      <c r="AT132" s="42" t="n"/>
      <c r="AU132" s="42" t="n"/>
      <c r="AV132" s="42" t="n"/>
      <c r="AW132" s="42" t="n"/>
      <c r="AX132" s="42" t="n"/>
      <c r="AY132" s="42" t="n"/>
      <c r="AZ132" s="42" t="n"/>
      <c r="BA132" s="42" t="n"/>
      <c r="BB132" s="42" t="n"/>
      <c r="BC132" s="42" t="n"/>
      <c r="BD132" s="42" t="n"/>
      <c r="BE132" s="42" t="n"/>
      <c r="BF132" s="42" t="n"/>
      <c r="BG132" s="42" t="n"/>
      <c r="BH132" s="42" t="n"/>
      <c r="BI132" s="42" t="n"/>
      <c r="BJ132" s="42" t="n"/>
      <c r="BK132" s="42" t="n"/>
      <c r="BL132" s="42" t="n"/>
      <c r="BM132" s="42" t="n"/>
      <c r="BN132" s="42" t="n"/>
      <c r="BO132" s="42" t="n"/>
      <c r="BP132" s="42" t="n"/>
      <c r="BQ132" s="42" t="n"/>
      <c r="BR132" s="42" t="n"/>
      <c r="BS132" s="42" t="n"/>
      <c r="BT132" s="42" t="n"/>
      <c r="BU132" s="42" t="n"/>
      <c r="BV132" s="42" t="n"/>
      <c r="BW132" s="42" t="n"/>
      <c r="BX132" s="42" t="n"/>
      <c r="BY132" s="42" t="n"/>
      <c r="BZ132" s="42" t="n"/>
      <c r="CA132" s="42" t="n"/>
      <c r="CB132" s="42" t="n"/>
      <c r="CC132" s="42" t="n"/>
      <c r="CD132" s="42" t="n"/>
      <c r="CE132" s="42" t="n"/>
      <c r="CF132" s="42" t="n"/>
      <c r="CG132" s="42" t="n"/>
      <c r="CH132" s="42" t="n"/>
      <c r="CI132" s="42" t="n"/>
      <c r="CJ132" s="42" t="n"/>
      <c r="CK132" s="42" t="n"/>
      <c r="CL132" s="42" t="n"/>
      <c r="CM132" s="42" t="n"/>
      <c r="CN132" s="2" t="n"/>
      <c r="CO132" s="2" t="n"/>
      <c r="CP132" s="2" t="n"/>
      <c r="CQ132" s="2" t="n"/>
      <c r="CR132" s="2" t="n"/>
      <c r="CS132" s="2" t="n"/>
      <c r="CT132" s="2" t="n"/>
      <c r="CU132" s="2" t="n"/>
      <c r="CV132" s="2" t="n"/>
      <c r="CW132" s="2" t="n"/>
      <c r="CX132" s="2" t="n"/>
      <c r="CY132" s="2" t="n"/>
      <c r="CZ132" s="2" t="n"/>
      <c r="DA132" s="2" t="n"/>
      <c r="DB132" s="2" t="n"/>
      <c r="DC132" s="2" t="n"/>
      <c r="DD132" s="2" t="n"/>
      <c r="DE132" s="2" t="n"/>
      <c r="DF132" s="2" t="n"/>
      <c r="DG132" s="2" t="n"/>
      <c r="DH132" s="2" t="n"/>
    </row>
    <row r="133" ht="45" customFormat="1" customHeight="1" s="76">
      <c r="A133" s="34" t="n"/>
      <c r="B133" s="34" t="n"/>
      <c r="C133" s="45" t="n"/>
      <c r="D133" s="36" t="n"/>
      <c r="E133" s="36" t="n"/>
      <c r="F133" s="36" t="n"/>
      <c r="G133" s="36" t="n"/>
      <c r="H133" s="36" t="n"/>
      <c r="I133" s="36" t="n"/>
      <c r="J133" s="36" t="n"/>
      <c r="K133" s="36" t="n"/>
      <c r="L133" s="36" t="n"/>
      <c r="M133" s="36" t="n"/>
      <c r="N133" s="36" t="n"/>
      <c r="O133" s="36" t="n"/>
      <c r="P133" s="36" t="n"/>
      <c r="Q133" s="36" t="n"/>
      <c r="R133" s="36" t="n"/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  <c r="AB133" s="36" t="n"/>
      <c r="AC133" s="36" t="n"/>
      <c r="AD133" s="36" t="n"/>
      <c r="AE133" s="36" t="n"/>
      <c r="AF133" s="36" t="n"/>
      <c r="AG133" s="36" t="n"/>
      <c r="AH133" s="36" t="n"/>
      <c r="AI133" s="36" t="n"/>
      <c r="AJ133" s="36" t="n"/>
      <c r="AK133" s="36" t="n"/>
      <c r="AL133" s="36" t="n"/>
      <c r="AM133" s="36" t="n"/>
      <c r="AN133" s="36" t="n"/>
      <c r="AO133" s="36" t="n"/>
      <c r="AP133" s="36" t="n"/>
      <c r="AQ133" s="36" t="n"/>
      <c r="AR133" s="36" t="n"/>
      <c r="AS133" s="36" t="n"/>
      <c r="AT133" s="36" t="n"/>
      <c r="AU133" s="36" t="n"/>
      <c r="AV133" s="36" t="n"/>
      <c r="AW133" s="36" t="n"/>
      <c r="AX133" s="36" t="n"/>
      <c r="AY133" s="36" t="n"/>
      <c r="AZ133" s="36" t="n"/>
      <c r="BA133" s="36" t="n"/>
      <c r="BB133" s="36" t="n"/>
      <c r="BC133" s="36" t="n"/>
      <c r="BD133" s="36" t="n"/>
      <c r="BE133" s="36" t="n"/>
      <c r="BF133" s="36" t="n"/>
      <c r="BG133" s="36" t="n"/>
      <c r="BH133" s="36" t="n"/>
      <c r="BI133" s="36" t="n"/>
      <c r="BJ133" s="36" t="n"/>
      <c r="BK133" s="36" t="n"/>
      <c r="BL133" s="36" t="n"/>
      <c r="BM133" s="36" t="n"/>
      <c r="BN133" s="36" t="n"/>
      <c r="BO133" s="36" t="n"/>
      <c r="BP133" s="36" t="n"/>
      <c r="BQ133" s="36" t="n"/>
      <c r="BR133" s="36" t="n"/>
      <c r="BS133" s="36" t="n"/>
      <c r="BT133" s="36" t="n"/>
      <c r="BU133" s="36" t="n"/>
      <c r="BV133" s="36" t="n"/>
      <c r="BW133" s="36" t="n"/>
      <c r="BX133" s="36" t="n"/>
      <c r="BY133" s="36" t="n"/>
      <c r="BZ133" s="36" t="n"/>
      <c r="CA133" s="36" t="n"/>
      <c r="CB133" s="36" t="n"/>
      <c r="CC133" s="36" t="n"/>
      <c r="CD133" s="36" t="n"/>
      <c r="CE133" s="36" t="n"/>
      <c r="CF133" s="36" t="n"/>
      <c r="CG133" s="36" t="n"/>
      <c r="CH133" s="36" t="n"/>
      <c r="CI133" s="36" t="n"/>
      <c r="CJ133" s="36" t="n"/>
      <c r="CK133" s="36" t="n"/>
      <c r="CL133" s="36" t="n"/>
      <c r="CM133" s="36" t="n"/>
      <c r="CN133" s="2" t="n"/>
      <c r="CO133" s="2" t="n"/>
      <c r="CP133" s="2" t="n"/>
      <c r="CQ133" s="2" t="n"/>
      <c r="CR133" s="2" t="n"/>
      <c r="CS133" s="2" t="n"/>
      <c r="CT133" s="2" t="n"/>
      <c r="CU133" s="2" t="n"/>
      <c r="CV133" s="2" t="n"/>
      <c r="CW133" s="2" t="n"/>
      <c r="CX133" s="2" t="n"/>
      <c r="CY133" s="2" t="n"/>
      <c r="CZ133" s="2" t="n"/>
      <c r="DA133" s="2" t="n"/>
      <c r="DB133" s="2" t="n"/>
      <c r="DC133" s="2" t="n"/>
      <c r="DD133" s="2" t="n"/>
      <c r="DE133" s="2" t="n"/>
      <c r="DF133" s="2" t="n"/>
      <c r="DG133" s="2" t="n"/>
      <c r="DH133" s="2" t="n"/>
    </row>
    <row r="134" ht="45" customFormat="1" customHeight="1" s="76">
      <c r="A134" s="34" t="n"/>
      <c r="B134" s="34" t="n"/>
      <c r="C134" s="45" t="n"/>
      <c r="D134" s="36" t="n"/>
      <c r="E134" s="36" t="n"/>
      <c r="F134" s="36" t="n"/>
      <c r="G134" s="36" t="n"/>
      <c r="H134" s="36" t="n"/>
      <c r="I134" s="36" t="n"/>
      <c r="J134" s="36" t="n"/>
      <c r="K134" s="36" t="n"/>
      <c r="L134" s="36" t="n"/>
      <c r="M134" s="36" t="n"/>
      <c r="N134" s="36" t="n"/>
      <c r="O134" s="36" t="n"/>
      <c r="P134" s="36" t="n"/>
      <c r="Q134" s="36" t="n"/>
      <c r="R134" s="36" t="n"/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  <c r="AB134" s="36" t="n"/>
      <c r="AC134" s="36" t="n"/>
      <c r="AD134" s="36" t="n"/>
      <c r="AE134" s="36" t="n"/>
      <c r="AF134" s="36" t="n"/>
      <c r="AG134" s="36" t="n"/>
      <c r="AH134" s="36" t="n"/>
      <c r="AI134" s="36" t="n"/>
      <c r="AJ134" s="36" t="n"/>
      <c r="AK134" s="36" t="n"/>
      <c r="AL134" s="36" t="n"/>
      <c r="AM134" s="36" t="n"/>
      <c r="AN134" s="36" t="n"/>
      <c r="AO134" s="36" t="n"/>
      <c r="AP134" s="36" t="n"/>
      <c r="AQ134" s="36" t="n"/>
      <c r="AR134" s="36" t="n"/>
      <c r="AS134" s="36" t="n"/>
      <c r="AT134" s="36" t="n"/>
      <c r="AU134" s="36" t="n"/>
      <c r="AV134" s="36" t="n"/>
      <c r="AW134" s="36" t="n"/>
      <c r="AX134" s="36" t="n"/>
      <c r="AY134" s="36" t="n"/>
      <c r="AZ134" s="36" t="n"/>
      <c r="BA134" s="36" t="n"/>
      <c r="BB134" s="36" t="n"/>
      <c r="BC134" s="36" t="n"/>
      <c r="BD134" s="36" t="n"/>
      <c r="BE134" s="36" t="n"/>
      <c r="BF134" s="36" t="n"/>
      <c r="BG134" s="36" t="n"/>
      <c r="BH134" s="36" t="n"/>
      <c r="BI134" s="36" t="n"/>
      <c r="BJ134" s="36" t="n"/>
      <c r="BK134" s="36" t="n"/>
      <c r="BL134" s="36" t="n"/>
      <c r="BM134" s="36" t="n"/>
      <c r="BN134" s="36" t="n"/>
      <c r="BO134" s="36" t="n"/>
      <c r="BP134" s="36" t="n"/>
      <c r="BQ134" s="36" t="n"/>
      <c r="BR134" s="36" t="n"/>
      <c r="BS134" s="36" t="n"/>
      <c r="BT134" s="36" t="n"/>
      <c r="BU134" s="36" t="n"/>
      <c r="BV134" s="36" t="n"/>
      <c r="BW134" s="36" t="n"/>
      <c r="BX134" s="36" t="n"/>
      <c r="BY134" s="36" t="n"/>
      <c r="BZ134" s="36" t="n"/>
      <c r="CA134" s="36" t="n"/>
      <c r="CB134" s="36" t="n"/>
      <c r="CC134" s="36" t="n"/>
      <c r="CD134" s="36" t="n"/>
      <c r="CE134" s="36" t="n"/>
      <c r="CF134" s="36" t="n"/>
      <c r="CG134" s="36" t="n"/>
      <c r="CH134" s="36" t="n"/>
      <c r="CI134" s="36" t="n"/>
      <c r="CJ134" s="36" t="n"/>
      <c r="CK134" s="36" t="n"/>
      <c r="CL134" s="36" t="n"/>
      <c r="CM134" s="36" t="n"/>
      <c r="CN134" s="2" t="n"/>
      <c r="CO134" s="2" t="n"/>
      <c r="CP134" s="2" t="n"/>
      <c r="CQ134" s="2" t="n"/>
      <c r="CR134" s="2" t="n"/>
      <c r="CS134" s="2" t="n"/>
      <c r="CT134" s="2" t="n"/>
      <c r="CU134" s="2" t="n"/>
      <c r="CV134" s="2" t="n"/>
      <c r="CW134" s="2" t="n"/>
      <c r="CX134" s="2" t="n"/>
      <c r="CY134" s="2" t="n"/>
      <c r="CZ134" s="2" t="n"/>
      <c r="DA134" s="2" t="n"/>
      <c r="DB134" s="2" t="n"/>
      <c r="DC134" s="2" t="n"/>
      <c r="DD134" s="2" t="n"/>
      <c r="DE134" s="2" t="n"/>
      <c r="DF134" s="2" t="n"/>
      <c r="DG134" s="2" t="n"/>
      <c r="DH134" s="2" t="n"/>
    </row>
    <row r="135" ht="45" customFormat="1" customHeight="1" s="76">
      <c r="A135" s="34" t="n"/>
      <c r="B135" s="34" t="n"/>
      <c r="C135" s="45" t="n"/>
      <c r="D135" s="36" t="n"/>
      <c r="E135" s="36" t="n"/>
      <c r="F135" s="36" t="n"/>
      <c r="G135" s="36" t="n"/>
      <c r="H135" s="36" t="n"/>
      <c r="I135" s="36" t="n"/>
      <c r="J135" s="36" t="n"/>
      <c r="K135" s="36" t="n"/>
      <c r="L135" s="36" t="n"/>
      <c r="M135" s="36" t="n"/>
      <c r="N135" s="36" t="n"/>
      <c r="O135" s="36" t="n"/>
      <c r="P135" s="36" t="n"/>
      <c r="Q135" s="36" t="n"/>
      <c r="R135" s="36" t="n"/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  <c r="AB135" s="36" t="n"/>
      <c r="AC135" s="36" t="n"/>
      <c r="AD135" s="36" t="n"/>
      <c r="AE135" s="36" t="n"/>
      <c r="AF135" s="36" t="n"/>
      <c r="AG135" s="36" t="n"/>
      <c r="AH135" s="36" t="n"/>
      <c r="AI135" s="36" t="n"/>
      <c r="AJ135" s="36" t="n"/>
      <c r="AK135" s="36" t="n"/>
      <c r="AL135" s="36" t="n"/>
      <c r="AM135" s="36" t="n"/>
      <c r="AN135" s="36" t="n"/>
      <c r="AO135" s="36" t="n"/>
      <c r="AP135" s="36" t="n"/>
      <c r="AQ135" s="36" t="n"/>
      <c r="AR135" s="36" t="n"/>
      <c r="AS135" s="36" t="n"/>
      <c r="AT135" s="36" t="n"/>
      <c r="AU135" s="36" t="n"/>
      <c r="AV135" s="36" t="n"/>
      <c r="AW135" s="36" t="n"/>
      <c r="AX135" s="36" t="n"/>
      <c r="AY135" s="36" t="n"/>
      <c r="AZ135" s="36" t="n"/>
      <c r="BA135" s="36" t="n"/>
      <c r="BB135" s="36" t="n"/>
      <c r="BC135" s="36" t="n"/>
      <c r="BD135" s="36" t="n"/>
      <c r="BE135" s="36" t="n"/>
      <c r="BF135" s="36" t="n"/>
      <c r="BG135" s="36" t="n"/>
      <c r="BH135" s="36" t="n"/>
      <c r="BI135" s="36" t="n"/>
      <c r="BJ135" s="36" t="n"/>
      <c r="BK135" s="36" t="n"/>
      <c r="BL135" s="36" t="n"/>
      <c r="BM135" s="36" t="n"/>
      <c r="BN135" s="36" t="n"/>
      <c r="BO135" s="36" t="n"/>
      <c r="BP135" s="36" t="n"/>
      <c r="BQ135" s="36" t="n"/>
      <c r="BR135" s="36" t="n"/>
      <c r="BS135" s="36" t="n"/>
      <c r="BT135" s="36" t="n"/>
      <c r="BU135" s="36" t="n"/>
      <c r="BV135" s="36" t="n"/>
      <c r="BW135" s="36" t="n"/>
      <c r="BX135" s="36" t="n"/>
      <c r="BY135" s="36" t="n"/>
      <c r="BZ135" s="36" t="n"/>
      <c r="CA135" s="36" t="n"/>
      <c r="CB135" s="36" t="n"/>
      <c r="CC135" s="36" t="n"/>
      <c r="CD135" s="36" t="n"/>
      <c r="CE135" s="36" t="n"/>
      <c r="CF135" s="36" t="n"/>
      <c r="CG135" s="36" t="n"/>
      <c r="CH135" s="36" t="n"/>
      <c r="CI135" s="36" t="n"/>
      <c r="CJ135" s="36" t="n"/>
      <c r="CK135" s="36" t="n"/>
      <c r="CL135" s="36" t="n"/>
      <c r="CM135" s="36" t="n"/>
      <c r="CN135" s="2" t="n"/>
      <c r="CO135" s="2" t="n"/>
      <c r="CP135" s="2" t="n"/>
      <c r="CQ135" s="2" t="n"/>
      <c r="CR135" s="2" t="n"/>
      <c r="CS135" s="2" t="n"/>
      <c r="CT135" s="2" t="n"/>
      <c r="CU135" s="2" t="n"/>
      <c r="CV135" s="2" t="n"/>
      <c r="CW135" s="2" t="n"/>
      <c r="CX135" s="2" t="n"/>
      <c r="CY135" s="2" t="n"/>
      <c r="CZ135" s="2" t="n"/>
      <c r="DA135" s="2" t="n"/>
      <c r="DB135" s="2" t="n"/>
      <c r="DC135" s="2" t="n"/>
      <c r="DD135" s="2" t="n"/>
      <c r="DE135" s="2" t="n"/>
      <c r="DF135" s="2" t="n"/>
      <c r="DG135" s="2" t="n"/>
      <c r="DH135" s="2" t="n"/>
    </row>
    <row r="136" ht="45" customFormat="1" customHeight="1" s="76">
      <c r="A136" s="34" t="n"/>
      <c r="B136" s="34" t="n"/>
      <c r="C136" s="45" t="n"/>
      <c r="D136" s="36" t="n"/>
      <c r="E136" s="36" t="n"/>
      <c r="F136" s="36" t="n"/>
      <c r="G136" s="36" t="n"/>
      <c r="H136" s="36" t="n"/>
      <c r="I136" s="36" t="n"/>
      <c r="J136" s="36" t="n"/>
      <c r="K136" s="36" t="n"/>
      <c r="L136" s="36" t="n"/>
      <c r="M136" s="36" t="n"/>
      <c r="N136" s="36" t="n"/>
      <c r="O136" s="36" t="n"/>
      <c r="P136" s="36" t="n"/>
      <c r="Q136" s="36" t="n"/>
      <c r="R136" s="36" t="n"/>
      <c r="S136" s="36" t="n"/>
      <c r="T136" s="36" t="n"/>
      <c r="U136" s="36" t="n"/>
      <c r="V136" s="36" t="n"/>
      <c r="W136" s="36" t="n"/>
      <c r="X136" s="36" t="n"/>
      <c r="Y136" s="36" t="n"/>
      <c r="Z136" s="36" t="n"/>
      <c r="AA136" s="36" t="n"/>
      <c r="AB136" s="36" t="n"/>
      <c r="AC136" s="36" t="n"/>
      <c r="AD136" s="36" t="n"/>
      <c r="AE136" s="36" t="n"/>
      <c r="AF136" s="36" t="n"/>
      <c r="AG136" s="36" t="n"/>
      <c r="AH136" s="36" t="n"/>
      <c r="AI136" s="36" t="n"/>
      <c r="AJ136" s="36" t="n"/>
      <c r="AK136" s="36" t="n"/>
      <c r="AL136" s="36" t="n"/>
      <c r="AM136" s="36" t="n"/>
      <c r="AN136" s="36" t="n"/>
      <c r="AO136" s="36" t="n"/>
      <c r="AP136" s="36" t="n"/>
      <c r="AQ136" s="36" t="n"/>
      <c r="AR136" s="36" t="n"/>
      <c r="AS136" s="36" t="n"/>
      <c r="AT136" s="36" t="n"/>
      <c r="AU136" s="36" t="n"/>
      <c r="AV136" s="36" t="n"/>
      <c r="AW136" s="36" t="n"/>
      <c r="AX136" s="36" t="n"/>
      <c r="AY136" s="36" t="n"/>
      <c r="AZ136" s="36" t="n"/>
      <c r="BA136" s="36" t="n"/>
      <c r="BB136" s="36" t="n"/>
      <c r="BC136" s="36" t="n"/>
      <c r="BD136" s="36" t="n"/>
      <c r="BE136" s="36" t="n"/>
      <c r="BF136" s="36" t="n"/>
      <c r="BG136" s="36" t="n"/>
      <c r="BH136" s="36" t="n"/>
      <c r="BI136" s="36" t="n"/>
      <c r="BJ136" s="36" t="n"/>
      <c r="BK136" s="36" t="n"/>
      <c r="BL136" s="36" t="n"/>
      <c r="BM136" s="36" t="n"/>
      <c r="BN136" s="36" t="n"/>
      <c r="BO136" s="36" t="n"/>
      <c r="BP136" s="36" t="n"/>
      <c r="BQ136" s="36" t="n"/>
      <c r="BR136" s="36" t="n"/>
      <c r="BS136" s="36" t="n"/>
      <c r="BT136" s="36" t="n"/>
      <c r="BU136" s="36" t="n"/>
      <c r="BV136" s="36" t="n"/>
      <c r="BW136" s="36" t="n"/>
      <c r="BX136" s="36" t="n"/>
      <c r="BY136" s="36" t="n"/>
      <c r="BZ136" s="36" t="n"/>
      <c r="CA136" s="36" t="n"/>
      <c r="CB136" s="36" t="n"/>
      <c r="CC136" s="36" t="n"/>
      <c r="CD136" s="36" t="n"/>
      <c r="CE136" s="36" t="n"/>
      <c r="CF136" s="36" t="n"/>
      <c r="CG136" s="36" t="n"/>
      <c r="CH136" s="36" t="n"/>
      <c r="CI136" s="36" t="n"/>
      <c r="CJ136" s="36" t="n"/>
      <c r="CK136" s="36" t="n"/>
      <c r="CL136" s="36" t="n"/>
      <c r="CM136" s="36" t="n"/>
      <c r="CN136" s="2" t="n"/>
      <c r="CO136" s="2" t="n"/>
      <c r="CP136" s="2" t="n"/>
      <c r="CQ136" s="2" t="n"/>
      <c r="CR136" s="2" t="n"/>
      <c r="CS136" s="2" t="n"/>
      <c r="CT136" s="2" t="n"/>
      <c r="CU136" s="2" t="n"/>
      <c r="CV136" s="2" t="n"/>
      <c r="CW136" s="2" t="n"/>
      <c r="CX136" s="2" t="n"/>
      <c r="CY136" s="2" t="n"/>
      <c r="CZ136" s="2" t="n"/>
      <c r="DA136" s="2" t="n"/>
      <c r="DB136" s="2" t="n"/>
      <c r="DC136" s="2" t="n"/>
      <c r="DD136" s="2" t="n"/>
      <c r="DE136" s="2" t="n"/>
      <c r="DF136" s="2" t="n"/>
      <c r="DG136" s="2" t="n"/>
      <c r="DH136" s="2" t="n"/>
    </row>
    <row r="137" ht="45" customFormat="1" customHeight="1" s="76">
      <c r="A137" s="34" t="n"/>
      <c r="B137" s="34" t="n"/>
      <c r="C137" s="45" t="n"/>
      <c r="D137" s="36" t="n"/>
      <c r="E137" s="36" t="n"/>
      <c r="F137" s="36" t="n"/>
      <c r="G137" s="36" t="n"/>
      <c r="H137" s="36" t="n"/>
      <c r="I137" s="36" t="n"/>
      <c r="J137" s="36" t="n"/>
      <c r="K137" s="36" t="n"/>
      <c r="L137" s="36" t="n"/>
      <c r="M137" s="36" t="n"/>
      <c r="N137" s="36" t="n"/>
      <c r="O137" s="36" t="n"/>
      <c r="P137" s="36" t="n"/>
      <c r="Q137" s="36" t="n"/>
      <c r="R137" s="36" t="n"/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  <c r="AB137" s="36" t="n"/>
      <c r="AC137" s="36" t="n"/>
      <c r="AD137" s="36" t="n"/>
      <c r="AE137" s="36" t="n"/>
      <c r="AF137" s="36" t="n"/>
      <c r="AG137" s="36" t="n"/>
      <c r="AH137" s="36" t="n"/>
      <c r="AI137" s="36" t="n"/>
      <c r="AJ137" s="36" t="n"/>
      <c r="AK137" s="36" t="n"/>
      <c r="AL137" s="36" t="n"/>
      <c r="AM137" s="36" t="n"/>
      <c r="AN137" s="36" t="n"/>
      <c r="AO137" s="36" t="n"/>
      <c r="AP137" s="36" t="n"/>
      <c r="AQ137" s="36" t="n"/>
      <c r="AR137" s="36" t="n"/>
      <c r="AS137" s="36" t="n"/>
      <c r="AT137" s="36" t="n"/>
      <c r="AU137" s="36" t="n"/>
      <c r="AV137" s="36" t="n"/>
      <c r="AW137" s="36" t="n"/>
      <c r="AX137" s="36" t="n"/>
      <c r="AY137" s="36" t="n"/>
      <c r="AZ137" s="36" t="n"/>
      <c r="BA137" s="36" t="n"/>
      <c r="BB137" s="36" t="n"/>
      <c r="BC137" s="36" t="n"/>
      <c r="BD137" s="36" t="n"/>
      <c r="BE137" s="36" t="n"/>
      <c r="BF137" s="36" t="n"/>
      <c r="BG137" s="36" t="n"/>
      <c r="BH137" s="36" t="n"/>
      <c r="BI137" s="36" t="n"/>
      <c r="BJ137" s="36" t="n"/>
      <c r="BK137" s="36" t="n"/>
      <c r="BL137" s="36" t="n"/>
      <c r="BM137" s="36" t="n"/>
      <c r="BN137" s="36" t="n"/>
      <c r="BO137" s="36" t="n"/>
      <c r="BP137" s="36" t="n"/>
      <c r="BQ137" s="36" t="n"/>
      <c r="BR137" s="36" t="n"/>
      <c r="BS137" s="36" t="n"/>
      <c r="BT137" s="36" t="n"/>
      <c r="BU137" s="36" t="n"/>
      <c r="BV137" s="36" t="n"/>
      <c r="BW137" s="36" t="n"/>
      <c r="BX137" s="36" t="n"/>
      <c r="BY137" s="36" t="n"/>
      <c r="BZ137" s="36" t="n"/>
      <c r="CA137" s="36" t="n"/>
      <c r="CB137" s="36" t="n"/>
      <c r="CC137" s="36" t="n"/>
      <c r="CD137" s="36" t="n"/>
      <c r="CE137" s="36" t="n"/>
      <c r="CF137" s="36" t="n"/>
      <c r="CG137" s="36" t="n"/>
      <c r="CH137" s="36" t="n"/>
      <c r="CI137" s="36" t="n"/>
      <c r="CJ137" s="36" t="n"/>
      <c r="CK137" s="36" t="n"/>
      <c r="CL137" s="36" t="n"/>
      <c r="CM137" s="36" t="n"/>
      <c r="CN137" s="2" t="n"/>
      <c r="CO137" s="2" t="n"/>
      <c r="CP137" s="2" t="n"/>
      <c r="CQ137" s="2" t="n"/>
      <c r="CR137" s="2" t="n"/>
      <c r="CS137" s="2" t="n"/>
      <c r="CT137" s="2" t="n"/>
      <c r="CU137" s="2" t="n"/>
      <c r="CV137" s="2" t="n"/>
      <c r="CW137" s="2" t="n"/>
      <c r="CX137" s="2" t="n"/>
      <c r="CY137" s="2" t="n"/>
      <c r="CZ137" s="2" t="n"/>
      <c r="DA137" s="2" t="n"/>
      <c r="DB137" s="2" t="n"/>
      <c r="DC137" s="2" t="n"/>
      <c r="DD137" s="2" t="n"/>
      <c r="DE137" s="2" t="n"/>
      <c r="DF137" s="2" t="n"/>
      <c r="DG137" s="2" t="n"/>
      <c r="DH137" s="2" t="n"/>
    </row>
    <row r="138" ht="45" customFormat="1" customHeight="1" s="76">
      <c r="A138" s="34" t="n"/>
      <c r="B138" s="34" t="n"/>
      <c r="C138" s="45" t="n"/>
      <c r="D138" s="36" t="n"/>
      <c r="E138" s="36" t="n"/>
      <c r="F138" s="36" t="n"/>
      <c r="G138" s="36" t="n"/>
      <c r="H138" s="36" t="n"/>
      <c r="I138" s="36" t="n"/>
      <c r="J138" s="36" t="n"/>
      <c r="K138" s="36" t="n"/>
      <c r="L138" s="36" t="n"/>
      <c r="M138" s="36" t="n"/>
      <c r="N138" s="36" t="n"/>
      <c r="O138" s="36" t="n"/>
      <c r="P138" s="36" t="n"/>
      <c r="Q138" s="36" t="n"/>
      <c r="R138" s="36" t="n"/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  <c r="AB138" s="36" t="n"/>
      <c r="AC138" s="36" t="n"/>
      <c r="AD138" s="36" t="n"/>
      <c r="AE138" s="36" t="n"/>
      <c r="AF138" s="36" t="n"/>
      <c r="AG138" s="36" t="n"/>
      <c r="AH138" s="36" t="n"/>
      <c r="AI138" s="36" t="n"/>
      <c r="AJ138" s="36" t="n"/>
      <c r="AK138" s="36" t="n"/>
      <c r="AL138" s="36" t="n"/>
      <c r="AM138" s="36" t="n"/>
      <c r="AN138" s="36" t="n"/>
      <c r="AO138" s="36" t="n"/>
      <c r="AP138" s="36" t="n"/>
      <c r="AQ138" s="36" t="n"/>
      <c r="AR138" s="36" t="n"/>
      <c r="AS138" s="36" t="n"/>
      <c r="AT138" s="36" t="n"/>
      <c r="AU138" s="36" t="n"/>
      <c r="AV138" s="36" t="n"/>
      <c r="AW138" s="36" t="n"/>
      <c r="AX138" s="36" t="n"/>
      <c r="AY138" s="36" t="n"/>
      <c r="AZ138" s="36" t="n"/>
      <c r="BA138" s="36" t="n"/>
      <c r="BB138" s="36" t="n"/>
      <c r="BC138" s="36" t="n"/>
      <c r="BD138" s="36" t="n"/>
      <c r="BE138" s="36" t="n"/>
      <c r="BF138" s="36" t="n"/>
      <c r="BG138" s="36" t="n"/>
      <c r="BH138" s="36" t="n"/>
      <c r="BI138" s="36" t="n"/>
      <c r="BJ138" s="36" t="n"/>
      <c r="BK138" s="36" t="n"/>
      <c r="BL138" s="36" t="n"/>
      <c r="BM138" s="36" t="n"/>
      <c r="BN138" s="36" t="n"/>
      <c r="BO138" s="36" t="n"/>
      <c r="BP138" s="36" t="n"/>
      <c r="BQ138" s="36" t="n"/>
      <c r="BR138" s="36" t="n"/>
      <c r="BS138" s="36" t="n"/>
      <c r="BT138" s="36" t="n"/>
      <c r="BU138" s="36" t="n"/>
      <c r="BV138" s="36" t="n"/>
      <c r="BW138" s="36" t="n"/>
      <c r="BX138" s="36" t="n"/>
      <c r="BY138" s="36" t="n"/>
      <c r="BZ138" s="36" t="n"/>
      <c r="CA138" s="36" t="n"/>
      <c r="CB138" s="36" t="n"/>
      <c r="CC138" s="36" t="n"/>
      <c r="CD138" s="36" t="n"/>
      <c r="CE138" s="36" t="n"/>
      <c r="CF138" s="36" t="n"/>
      <c r="CG138" s="36" t="n"/>
      <c r="CH138" s="36" t="n"/>
      <c r="CI138" s="36" t="n"/>
      <c r="CJ138" s="36" t="n"/>
      <c r="CK138" s="36" t="n"/>
      <c r="CL138" s="36" t="n"/>
      <c r="CM138" s="36" t="n"/>
      <c r="CN138" s="2" t="n"/>
      <c r="CO138" s="2" t="n"/>
      <c r="CP138" s="2" t="n"/>
      <c r="CQ138" s="2" t="n"/>
      <c r="CR138" s="2" t="n"/>
      <c r="CS138" s="2" t="n"/>
      <c r="CT138" s="2" t="n"/>
      <c r="CU138" s="2" t="n"/>
      <c r="CV138" s="2" t="n"/>
      <c r="CW138" s="2" t="n"/>
      <c r="CX138" s="2" t="n"/>
      <c r="CY138" s="2" t="n"/>
      <c r="CZ138" s="2" t="n"/>
      <c r="DA138" s="2" t="n"/>
      <c r="DB138" s="2" t="n"/>
      <c r="DC138" s="2" t="n"/>
      <c r="DD138" s="2" t="n"/>
      <c r="DE138" s="2" t="n"/>
      <c r="DF138" s="2" t="n"/>
      <c r="DG138" s="2" t="n"/>
      <c r="DH138" s="2" t="n"/>
    </row>
    <row r="139" ht="45" customFormat="1" customHeight="1" s="76">
      <c r="A139" s="34" t="n"/>
      <c r="B139" s="34" t="n"/>
      <c r="C139" s="45" t="n"/>
      <c r="D139" s="36" t="n"/>
      <c r="E139" s="36" t="n"/>
      <c r="F139" s="36" t="n"/>
      <c r="G139" s="36" t="n"/>
      <c r="H139" s="36" t="n"/>
      <c r="I139" s="36" t="n"/>
      <c r="J139" s="36" t="n"/>
      <c r="K139" s="36" t="n"/>
      <c r="L139" s="36" t="n"/>
      <c r="M139" s="36" t="n"/>
      <c r="N139" s="36" t="n"/>
      <c r="O139" s="36" t="n"/>
      <c r="P139" s="36" t="n"/>
      <c r="Q139" s="36" t="n"/>
      <c r="R139" s="36" t="n"/>
      <c r="S139" s="36" t="n"/>
      <c r="T139" s="36" t="n"/>
      <c r="U139" s="36" t="n"/>
      <c r="V139" s="36" t="n"/>
      <c r="W139" s="36" t="n"/>
      <c r="X139" s="36" t="n"/>
      <c r="Y139" s="36" t="n"/>
      <c r="Z139" s="36" t="n"/>
      <c r="AA139" s="36" t="n"/>
      <c r="AB139" s="36" t="n"/>
      <c r="AC139" s="36" t="n"/>
      <c r="AD139" s="36" t="n"/>
      <c r="AE139" s="36" t="n"/>
      <c r="AF139" s="36" t="n"/>
      <c r="AG139" s="36" t="n"/>
      <c r="AH139" s="36" t="n"/>
      <c r="AI139" s="36" t="n"/>
      <c r="AJ139" s="36" t="n"/>
      <c r="AK139" s="36" t="n"/>
      <c r="AL139" s="36" t="n"/>
      <c r="AM139" s="36" t="n"/>
      <c r="AN139" s="36" t="n"/>
      <c r="AO139" s="36" t="n"/>
      <c r="AP139" s="36" t="n"/>
      <c r="AQ139" s="36" t="n"/>
      <c r="AR139" s="36" t="n"/>
      <c r="AS139" s="36" t="n"/>
      <c r="AT139" s="36" t="n"/>
      <c r="AU139" s="36" t="n"/>
      <c r="AV139" s="36" t="n"/>
      <c r="AW139" s="36" t="n"/>
      <c r="AX139" s="36" t="n"/>
      <c r="AY139" s="36" t="n"/>
      <c r="AZ139" s="36" t="n"/>
      <c r="BA139" s="36" t="n"/>
      <c r="BB139" s="36" t="n"/>
      <c r="BC139" s="36" t="n"/>
      <c r="BD139" s="36" t="n"/>
      <c r="BE139" s="36" t="n"/>
      <c r="BF139" s="36" t="n"/>
      <c r="BG139" s="36" t="n"/>
      <c r="BH139" s="36" t="n"/>
      <c r="BI139" s="36" t="n"/>
      <c r="BJ139" s="36" t="n"/>
      <c r="BK139" s="36" t="n"/>
      <c r="BL139" s="36" t="n"/>
      <c r="BM139" s="36" t="n"/>
      <c r="BN139" s="36" t="n"/>
      <c r="BO139" s="36" t="n"/>
      <c r="BP139" s="36" t="n"/>
      <c r="BQ139" s="36" t="n"/>
      <c r="BR139" s="36" t="n"/>
      <c r="BS139" s="36" t="n"/>
      <c r="BT139" s="36" t="n"/>
      <c r="BU139" s="36" t="n"/>
      <c r="BV139" s="36" t="n"/>
      <c r="BW139" s="36" t="n"/>
      <c r="BX139" s="36" t="n"/>
      <c r="BY139" s="36" t="n"/>
      <c r="BZ139" s="36" t="n"/>
      <c r="CA139" s="36" t="n"/>
      <c r="CB139" s="36" t="n"/>
      <c r="CC139" s="36" t="n"/>
      <c r="CD139" s="36" t="n"/>
      <c r="CE139" s="36" t="n"/>
      <c r="CF139" s="36" t="n"/>
      <c r="CG139" s="36" t="n"/>
      <c r="CH139" s="36" t="n"/>
      <c r="CI139" s="36" t="n"/>
      <c r="CJ139" s="36" t="n"/>
      <c r="CK139" s="36" t="n"/>
      <c r="CL139" s="36" t="n"/>
      <c r="CM139" s="36" t="n"/>
      <c r="CN139" s="2" t="n"/>
      <c r="CO139" s="2" t="n"/>
      <c r="CP139" s="2" t="n"/>
      <c r="CQ139" s="2" t="n"/>
      <c r="CR139" s="2" t="n"/>
      <c r="CS139" s="2" t="n"/>
      <c r="CT139" s="2" t="n"/>
      <c r="CU139" s="2" t="n"/>
      <c r="CV139" s="2" t="n"/>
      <c r="CW139" s="2" t="n"/>
      <c r="CX139" s="2" t="n"/>
      <c r="CY139" s="2" t="n"/>
      <c r="CZ139" s="2" t="n"/>
      <c r="DA139" s="2" t="n"/>
      <c r="DB139" s="2" t="n"/>
      <c r="DC139" s="2" t="n"/>
      <c r="DD139" s="2" t="n"/>
      <c r="DE139" s="2" t="n"/>
      <c r="DF139" s="2" t="n"/>
      <c r="DG139" s="2" t="n"/>
      <c r="DH139" s="2" t="n"/>
    </row>
    <row r="140" ht="27.95" customFormat="1" customHeight="1" s="76">
      <c r="A140" s="35" t="n"/>
      <c r="B140" s="35" t="n"/>
      <c r="C140" s="46" t="n"/>
      <c r="D140" s="43" t="n"/>
      <c r="E140" s="43" t="n"/>
      <c r="F140" s="43" t="n"/>
      <c r="G140" s="43" t="n"/>
      <c r="H140" s="43" t="n"/>
      <c r="I140" s="43" t="n"/>
      <c r="J140" s="43" t="n"/>
      <c r="K140" s="43" t="n"/>
      <c r="L140" s="43" t="n"/>
      <c r="M140" s="43" t="n"/>
      <c r="N140" s="43" t="n"/>
      <c r="O140" s="43" t="n"/>
      <c r="P140" s="43" t="n"/>
      <c r="Q140" s="43" t="n"/>
      <c r="R140" s="43" t="n"/>
      <c r="S140" s="43" t="n"/>
      <c r="T140" s="43" t="n"/>
      <c r="U140" s="43" t="n"/>
      <c r="V140" s="43" t="n"/>
      <c r="W140" s="43" t="n"/>
      <c r="X140" s="43" t="n"/>
      <c r="Y140" s="43" t="n"/>
      <c r="Z140" s="43" t="n"/>
      <c r="AA140" s="43" t="n"/>
      <c r="AB140" s="43" t="n"/>
      <c r="AC140" s="43" t="n"/>
      <c r="AD140" s="43" t="n"/>
      <c r="AE140" s="43" t="n"/>
      <c r="AF140" s="43" t="n"/>
      <c r="AG140" s="43" t="n"/>
      <c r="AH140" s="43" t="n"/>
      <c r="AI140" s="43" t="n"/>
      <c r="AJ140" s="43" t="n"/>
      <c r="AK140" s="43" t="n"/>
      <c r="AL140" s="43" t="n"/>
      <c r="AM140" s="43" t="n"/>
      <c r="AN140" s="43" t="n"/>
      <c r="AO140" s="43" t="n"/>
      <c r="AP140" s="43" t="n"/>
      <c r="AQ140" s="43" t="n"/>
      <c r="AR140" s="43" t="n"/>
      <c r="AS140" s="43" t="n"/>
      <c r="AT140" s="43" t="n"/>
      <c r="AU140" s="43" t="n"/>
      <c r="AV140" s="43" t="n"/>
      <c r="AW140" s="43" t="n"/>
      <c r="AX140" s="43" t="n"/>
      <c r="AY140" s="43" t="n"/>
      <c r="AZ140" s="43" t="n"/>
      <c r="BA140" s="43" t="n"/>
      <c r="BB140" s="43" t="n"/>
      <c r="BC140" s="43" t="n"/>
      <c r="BD140" s="43" t="n"/>
      <c r="BE140" s="43" t="n"/>
      <c r="BF140" s="43" t="n"/>
      <c r="BG140" s="43" t="n"/>
      <c r="BH140" s="43" t="n"/>
      <c r="BI140" s="43" t="n"/>
      <c r="BJ140" s="43" t="n"/>
      <c r="BK140" s="43" t="n"/>
      <c r="BL140" s="43" t="n"/>
      <c r="BM140" s="43" t="n"/>
      <c r="BN140" s="43" t="n"/>
      <c r="BO140" s="43" t="n"/>
      <c r="BP140" s="43" t="n"/>
      <c r="BQ140" s="43" t="n"/>
      <c r="BR140" s="43" t="n"/>
      <c r="BS140" s="43" t="n"/>
      <c r="BT140" s="43" t="n"/>
      <c r="BU140" s="43" t="n"/>
      <c r="BV140" s="43" t="n"/>
      <c r="BW140" s="43" t="n"/>
      <c r="BX140" s="43" t="n"/>
      <c r="BY140" s="43" t="n"/>
      <c r="BZ140" s="43" t="n"/>
      <c r="CA140" s="43" t="n"/>
      <c r="CB140" s="43" t="n"/>
      <c r="CC140" s="43" t="n"/>
      <c r="CD140" s="43" t="n"/>
      <c r="CE140" s="43" t="n"/>
      <c r="CF140" s="43" t="n"/>
      <c r="CG140" s="43" t="n"/>
      <c r="CH140" s="43" t="n"/>
      <c r="CI140" s="43" t="n"/>
      <c r="CJ140" s="43" t="n"/>
      <c r="CK140" s="43" t="n"/>
      <c r="CL140" s="43" t="n"/>
      <c r="CM140" s="43" t="n"/>
      <c r="CN140" s="2" t="n"/>
      <c r="CO140" s="2" t="n"/>
      <c r="CP140" s="2" t="n"/>
      <c r="CQ140" s="2" t="n"/>
      <c r="CR140" s="2" t="n"/>
      <c r="CS140" s="2" t="n"/>
      <c r="CT140" s="2" t="n"/>
      <c r="CU140" s="2" t="n"/>
      <c r="CV140" s="2" t="n"/>
      <c r="CW140" s="2" t="n"/>
      <c r="CX140" s="2" t="n"/>
      <c r="CY140" s="2" t="n"/>
      <c r="CZ140" s="2" t="n"/>
      <c r="DA140" s="2" t="n"/>
      <c r="DB140" s="2" t="n"/>
      <c r="DC140" s="2" t="n"/>
      <c r="DD140" s="2" t="n"/>
      <c r="DE140" s="2" t="n"/>
      <c r="DF140" s="2" t="n"/>
      <c r="DG140" s="2" t="n"/>
      <c r="DH140" s="2" t="n"/>
    </row>
    <row r="141" ht="45" customFormat="1" customHeight="1" s="76">
      <c r="A141" s="34" t="n"/>
      <c r="B141" s="34" t="n"/>
      <c r="C141" s="45" t="n"/>
      <c r="D141" s="36" t="n"/>
      <c r="E141" s="36" t="n"/>
      <c r="F141" s="36" t="n"/>
      <c r="G141" s="36" t="n"/>
      <c r="H141" s="36" t="n"/>
      <c r="I141" s="36" t="n"/>
      <c r="J141" s="36" t="n"/>
      <c r="K141" s="36" t="n"/>
      <c r="L141" s="36" t="n"/>
      <c r="M141" s="36" t="n"/>
      <c r="N141" s="36" t="n"/>
      <c r="O141" s="36" t="n"/>
      <c r="P141" s="36" t="n"/>
      <c r="Q141" s="36" t="n"/>
      <c r="R141" s="36" t="n"/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  <c r="AB141" s="36" t="n"/>
      <c r="AC141" s="36" t="n"/>
      <c r="AD141" s="36" t="n"/>
      <c r="AE141" s="36" t="n"/>
      <c r="AF141" s="36" t="n"/>
      <c r="AG141" s="36" t="n"/>
      <c r="AH141" s="36" t="n"/>
      <c r="AI141" s="36" t="n"/>
      <c r="AJ141" s="36" t="n"/>
      <c r="AK141" s="36" t="n"/>
      <c r="AL141" s="36" t="n"/>
      <c r="AM141" s="36" t="n"/>
      <c r="AN141" s="36" t="n"/>
      <c r="AO141" s="36" t="n"/>
      <c r="AP141" s="36" t="n"/>
      <c r="AQ141" s="36" t="n"/>
      <c r="AR141" s="36" t="n"/>
      <c r="AS141" s="36" t="n"/>
      <c r="AT141" s="36" t="n"/>
      <c r="AU141" s="36" t="n"/>
      <c r="AV141" s="36" t="n"/>
      <c r="AW141" s="36" t="n"/>
      <c r="AX141" s="36" t="n"/>
      <c r="AY141" s="36" t="n"/>
      <c r="AZ141" s="36" t="n"/>
      <c r="BA141" s="36" t="n"/>
      <c r="BB141" s="36" t="n"/>
      <c r="BC141" s="36" t="n"/>
      <c r="BD141" s="36" t="n"/>
      <c r="BE141" s="36" t="n"/>
      <c r="BF141" s="36" t="n"/>
      <c r="BG141" s="36" t="n"/>
      <c r="BH141" s="36" t="n"/>
      <c r="BI141" s="36" t="n"/>
      <c r="BJ141" s="36" t="n"/>
      <c r="BK141" s="36" t="n"/>
      <c r="BL141" s="36" t="n"/>
      <c r="BM141" s="36" t="n"/>
      <c r="BN141" s="36" t="n"/>
      <c r="BO141" s="36" t="n"/>
      <c r="BP141" s="36" t="n"/>
      <c r="BQ141" s="36" t="n"/>
      <c r="BR141" s="36" t="n"/>
      <c r="BS141" s="36" t="n"/>
      <c r="BT141" s="36" t="n"/>
      <c r="BU141" s="36" t="n"/>
      <c r="BV141" s="36" t="n"/>
      <c r="BW141" s="36" t="n"/>
      <c r="BX141" s="36" t="n"/>
      <c r="BY141" s="36" t="n"/>
      <c r="BZ141" s="36" t="n"/>
      <c r="CA141" s="36" t="n"/>
      <c r="CB141" s="36" t="n"/>
      <c r="CC141" s="36" t="n"/>
      <c r="CD141" s="36" t="n"/>
      <c r="CE141" s="36" t="n"/>
      <c r="CF141" s="36" t="n"/>
      <c r="CG141" s="36" t="n"/>
      <c r="CH141" s="36" t="n"/>
      <c r="CI141" s="36" t="n"/>
      <c r="CJ141" s="36" t="n"/>
      <c r="CK141" s="36" t="n"/>
      <c r="CL141" s="36" t="n"/>
      <c r="CM141" s="36" t="n"/>
      <c r="CN141" s="2" t="n"/>
      <c r="CO141" s="2" t="n"/>
      <c r="CP141" s="2" t="n"/>
      <c r="CQ141" s="2" t="n"/>
      <c r="CR141" s="2" t="n"/>
      <c r="CS141" s="2" t="n"/>
      <c r="CT141" s="2" t="n"/>
      <c r="CU141" s="2" t="n"/>
      <c r="CV141" s="2" t="n"/>
      <c r="CW141" s="2" t="n"/>
      <c r="CX141" s="2" t="n"/>
      <c r="CY141" s="2" t="n"/>
      <c r="CZ141" s="2" t="n"/>
      <c r="DA141" s="2" t="n"/>
      <c r="DB141" s="2" t="n"/>
      <c r="DC141" s="2" t="n"/>
      <c r="DD141" s="2" t="n"/>
      <c r="DE141" s="2" t="n"/>
      <c r="DF141" s="2" t="n"/>
      <c r="DG141" s="2" t="n"/>
      <c r="DH141" s="2" t="n"/>
    </row>
    <row r="142" ht="45" customFormat="1" customHeight="1" s="76">
      <c r="A142" s="34" t="n"/>
      <c r="B142" s="34" t="n"/>
      <c r="C142" s="45" t="n"/>
      <c r="D142" s="36" t="n"/>
      <c r="E142" s="36" t="n"/>
      <c r="F142" s="36" t="n"/>
      <c r="G142" s="36" t="n"/>
      <c r="H142" s="36" t="n"/>
      <c r="I142" s="36" t="n"/>
      <c r="J142" s="36" t="n"/>
      <c r="K142" s="36" t="n"/>
      <c r="L142" s="36" t="n"/>
      <c r="M142" s="36" t="n"/>
      <c r="N142" s="36" t="n"/>
      <c r="O142" s="36" t="n"/>
      <c r="P142" s="36" t="n"/>
      <c r="Q142" s="36" t="n"/>
      <c r="R142" s="36" t="n"/>
      <c r="S142" s="36" t="n"/>
      <c r="T142" s="36" t="n"/>
      <c r="U142" s="36" t="n"/>
      <c r="V142" s="36" t="n"/>
      <c r="W142" s="36" t="n"/>
      <c r="X142" s="36" t="n"/>
      <c r="Y142" s="36" t="n"/>
      <c r="Z142" s="36" t="n"/>
      <c r="AA142" s="36" t="n"/>
      <c r="AB142" s="36" t="n"/>
      <c r="AC142" s="36" t="n"/>
      <c r="AD142" s="36" t="n"/>
      <c r="AE142" s="36" t="n"/>
      <c r="AF142" s="36" t="n"/>
      <c r="AG142" s="36" t="n"/>
      <c r="AH142" s="36" t="n"/>
      <c r="AI142" s="36" t="n"/>
      <c r="AJ142" s="36" t="n"/>
      <c r="AK142" s="36" t="n"/>
      <c r="AL142" s="36" t="n"/>
      <c r="AM142" s="36" t="n"/>
      <c r="AN142" s="36" t="n"/>
      <c r="AO142" s="36" t="n"/>
      <c r="AP142" s="36" t="n"/>
      <c r="AQ142" s="36" t="n"/>
      <c r="AR142" s="36" t="n"/>
      <c r="AS142" s="36" t="n"/>
      <c r="AT142" s="36" t="n"/>
      <c r="AU142" s="36" t="n"/>
      <c r="AV142" s="36" t="n"/>
      <c r="AW142" s="36" t="n"/>
      <c r="AX142" s="36" t="n"/>
      <c r="AY142" s="36" t="n"/>
      <c r="AZ142" s="36" t="n"/>
      <c r="BA142" s="36" t="n"/>
      <c r="BB142" s="36" t="n"/>
      <c r="BC142" s="36" t="n"/>
      <c r="BD142" s="36" t="n"/>
      <c r="BE142" s="36" t="n"/>
      <c r="BF142" s="36" t="n"/>
      <c r="BG142" s="36" t="n"/>
      <c r="BH142" s="36" t="n"/>
      <c r="BI142" s="36" t="n"/>
      <c r="BJ142" s="36" t="n"/>
      <c r="BK142" s="36" t="n"/>
      <c r="BL142" s="36" t="n"/>
      <c r="BM142" s="36" t="n"/>
      <c r="BN142" s="36" t="n"/>
      <c r="BO142" s="36" t="n"/>
      <c r="BP142" s="36" t="n"/>
      <c r="BQ142" s="36" t="n"/>
      <c r="BR142" s="36" t="n"/>
      <c r="BS142" s="36" t="n"/>
      <c r="BT142" s="36" t="n"/>
      <c r="BU142" s="36" t="n"/>
      <c r="BV142" s="36" t="n"/>
      <c r="BW142" s="36" t="n"/>
      <c r="BX142" s="36" t="n"/>
      <c r="BY142" s="36" t="n"/>
      <c r="BZ142" s="36" t="n"/>
      <c r="CA142" s="36" t="n"/>
      <c r="CB142" s="36" t="n"/>
      <c r="CC142" s="36" t="n"/>
      <c r="CD142" s="36" t="n"/>
      <c r="CE142" s="36" t="n"/>
      <c r="CF142" s="36" t="n"/>
      <c r="CG142" s="36" t="n"/>
      <c r="CH142" s="36" t="n"/>
      <c r="CI142" s="36" t="n"/>
      <c r="CJ142" s="36" t="n"/>
      <c r="CK142" s="36" t="n"/>
      <c r="CL142" s="36" t="n"/>
      <c r="CM142" s="36" t="n"/>
      <c r="CN142" s="2" t="n"/>
      <c r="CO142" s="2" t="n"/>
      <c r="CP142" s="2" t="n"/>
      <c r="CQ142" s="2" t="n"/>
      <c r="CR142" s="2" t="n"/>
      <c r="CS142" s="2" t="n"/>
      <c r="CT142" s="2" t="n"/>
      <c r="CU142" s="2" t="n"/>
      <c r="CV142" s="2" t="n"/>
      <c r="CW142" s="2" t="n"/>
      <c r="CX142" s="2" t="n"/>
      <c r="CY142" s="2" t="n"/>
      <c r="CZ142" s="2" t="n"/>
      <c r="DA142" s="2" t="n"/>
      <c r="DB142" s="2" t="n"/>
      <c r="DC142" s="2" t="n"/>
      <c r="DD142" s="2" t="n"/>
      <c r="DE142" s="2" t="n"/>
      <c r="DF142" s="2" t="n"/>
      <c r="DG142" s="2" t="n"/>
      <c r="DH142" s="2" t="n"/>
    </row>
    <row r="143" ht="45" customFormat="1" customHeight="1" s="76">
      <c r="A143" s="34" t="n"/>
      <c r="B143" s="34" t="n"/>
      <c r="C143" s="45" t="n"/>
      <c r="D143" s="36" t="n"/>
      <c r="E143" s="36" t="n"/>
      <c r="F143" s="36" t="n"/>
      <c r="G143" s="36" t="n"/>
      <c r="H143" s="36" t="n"/>
      <c r="I143" s="36" t="n"/>
      <c r="J143" s="36" t="n"/>
      <c r="K143" s="36" t="n"/>
      <c r="L143" s="36" t="n"/>
      <c r="M143" s="36" t="n"/>
      <c r="N143" s="36" t="n"/>
      <c r="O143" s="36" t="n"/>
      <c r="P143" s="36" t="n"/>
      <c r="Q143" s="36" t="n"/>
      <c r="R143" s="36" t="n"/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  <c r="AB143" s="36" t="n"/>
      <c r="AC143" s="36" t="n"/>
      <c r="AD143" s="36" t="n"/>
      <c r="AE143" s="36" t="n"/>
      <c r="AF143" s="36" t="n"/>
      <c r="AG143" s="36" t="n"/>
      <c r="AH143" s="36" t="n"/>
      <c r="AI143" s="36" t="n"/>
      <c r="AJ143" s="36" t="n"/>
      <c r="AK143" s="36" t="n"/>
      <c r="AL143" s="36" t="n"/>
      <c r="AM143" s="36" t="n"/>
      <c r="AN143" s="36" t="n"/>
      <c r="AO143" s="36" t="n"/>
      <c r="AP143" s="36" t="n"/>
      <c r="AQ143" s="36" t="n"/>
      <c r="AR143" s="36" t="n"/>
      <c r="AS143" s="36" t="n"/>
      <c r="AT143" s="36" t="n"/>
      <c r="AU143" s="36" t="n"/>
      <c r="AV143" s="36" t="n"/>
      <c r="AW143" s="36" t="n"/>
      <c r="AX143" s="36" t="n"/>
      <c r="AY143" s="36" t="n"/>
      <c r="AZ143" s="36" t="n"/>
      <c r="BA143" s="36" t="n"/>
      <c r="BB143" s="36" t="n"/>
      <c r="BC143" s="36" t="n"/>
      <c r="BD143" s="36" t="n"/>
      <c r="BE143" s="36" t="n"/>
      <c r="BF143" s="36" t="n"/>
      <c r="BG143" s="36" t="n"/>
      <c r="BH143" s="36" t="n"/>
      <c r="BI143" s="36" t="n"/>
      <c r="BJ143" s="36" t="n"/>
      <c r="BK143" s="36" t="n"/>
      <c r="BL143" s="36" t="n"/>
      <c r="BM143" s="36" t="n"/>
      <c r="BN143" s="36" t="n"/>
      <c r="BO143" s="36" t="n"/>
      <c r="BP143" s="36" t="n"/>
      <c r="BQ143" s="36" t="n"/>
      <c r="BR143" s="36" t="n"/>
      <c r="BS143" s="36" t="n"/>
      <c r="BT143" s="36" t="n"/>
      <c r="BU143" s="36" t="n"/>
      <c r="BV143" s="36" t="n"/>
      <c r="BW143" s="36" t="n"/>
      <c r="BX143" s="36" t="n"/>
      <c r="BY143" s="36" t="n"/>
      <c r="BZ143" s="36" t="n"/>
      <c r="CA143" s="36" t="n"/>
      <c r="CB143" s="36" t="n"/>
      <c r="CC143" s="36" t="n"/>
      <c r="CD143" s="36" t="n"/>
      <c r="CE143" s="36" t="n"/>
      <c r="CF143" s="36" t="n"/>
      <c r="CG143" s="36" t="n"/>
      <c r="CH143" s="36" t="n"/>
      <c r="CI143" s="36" t="n"/>
      <c r="CJ143" s="36" t="n"/>
      <c r="CK143" s="36" t="n"/>
      <c r="CL143" s="36" t="n"/>
      <c r="CM143" s="36" t="n"/>
      <c r="CN143" s="2" t="n"/>
      <c r="CO143" s="2" t="n"/>
      <c r="CP143" s="2" t="n"/>
      <c r="CQ143" s="2" t="n"/>
      <c r="CR143" s="2" t="n"/>
      <c r="CS143" s="2" t="n"/>
      <c r="CT143" s="2" t="n"/>
      <c r="CU143" s="2" t="n"/>
      <c r="CV143" s="2" t="n"/>
      <c r="CW143" s="2" t="n"/>
      <c r="CX143" s="2" t="n"/>
      <c r="CY143" s="2" t="n"/>
      <c r="CZ143" s="2" t="n"/>
      <c r="DA143" s="2" t="n"/>
      <c r="DB143" s="2" t="n"/>
      <c r="DC143" s="2" t="n"/>
      <c r="DD143" s="2" t="n"/>
      <c r="DE143" s="2" t="n"/>
      <c r="DF143" s="2" t="n"/>
      <c r="DG143" s="2" t="n"/>
      <c r="DH143" s="2" t="n"/>
    </row>
    <row r="144" ht="45" customFormat="1" customHeight="1" s="76">
      <c r="A144" s="34" t="n"/>
      <c r="B144" s="34" t="n"/>
      <c r="C144" s="45" t="n"/>
      <c r="D144" s="36" t="n"/>
      <c r="E144" s="36" t="n"/>
      <c r="F144" s="36" t="n"/>
      <c r="G144" s="36" t="n"/>
      <c r="H144" s="36" t="n"/>
      <c r="I144" s="36" t="n"/>
      <c r="J144" s="36" t="n"/>
      <c r="K144" s="36" t="n"/>
      <c r="L144" s="36" t="n"/>
      <c r="M144" s="36" t="n"/>
      <c r="N144" s="36" t="n"/>
      <c r="O144" s="36" t="n"/>
      <c r="P144" s="36" t="n"/>
      <c r="Q144" s="36" t="n"/>
      <c r="R144" s="36" t="n"/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  <c r="AB144" s="36" t="n"/>
      <c r="AC144" s="36" t="n"/>
      <c r="AD144" s="36" t="n"/>
      <c r="AE144" s="36" t="n"/>
      <c r="AF144" s="36" t="n"/>
      <c r="AG144" s="36" t="n"/>
      <c r="AH144" s="36" t="n"/>
      <c r="AI144" s="36" t="n"/>
      <c r="AJ144" s="36" t="n"/>
      <c r="AK144" s="36" t="n"/>
      <c r="AL144" s="36" t="n"/>
      <c r="AM144" s="36" t="n"/>
      <c r="AN144" s="36" t="n"/>
      <c r="AO144" s="36" t="n"/>
      <c r="AP144" s="36" t="n"/>
      <c r="AQ144" s="36" t="n"/>
      <c r="AR144" s="36" t="n"/>
      <c r="AS144" s="36" t="n"/>
      <c r="AT144" s="36" t="n"/>
      <c r="AU144" s="36" t="n"/>
      <c r="AV144" s="36" t="n"/>
      <c r="AW144" s="36" t="n"/>
      <c r="AX144" s="36" t="n"/>
      <c r="AY144" s="36" t="n"/>
      <c r="AZ144" s="36" t="n"/>
      <c r="BA144" s="36" t="n"/>
      <c r="BB144" s="36" t="n"/>
      <c r="BC144" s="36" t="n"/>
      <c r="BD144" s="36" t="n"/>
      <c r="BE144" s="36" t="n"/>
      <c r="BF144" s="36" t="n"/>
      <c r="BG144" s="36" t="n"/>
      <c r="BH144" s="36" t="n"/>
      <c r="BI144" s="36" t="n"/>
      <c r="BJ144" s="36" t="n"/>
      <c r="BK144" s="36" t="n"/>
      <c r="BL144" s="36" t="n"/>
      <c r="BM144" s="36" t="n"/>
      <c r="BN144" s="36" t="n"/>
      <c r="BO144" s="36" t="n"/>
      <c r="BP144" s="36" t="n"/>
      <c r="BQ144" s="36" t="n"/>
      <c r="BR144" s="36" t="n"/>
      <c r="BS144" s="36" t="n"/>
      <c r="BT144" s="36" t="n"/>
      <c r="BU144" s="36" t="n"/>
      <c r="BV144" s="36" t="n"/>
      <c r="BW144" s="36" t="n"/>
      <c r="BX144" s="36" t="n"/>
      <c r="BY144" s="36" t="n"/>
      <c r="BZ144" s="36" t="n"/>
      <c r="CA144" s="36" t="n"/>
      <c r="CB144" s="36" t="n"/>
      <c r="CC144" s="36" t="n"/>
      <c r="CD144" s="36" t="n"/>
      <c r="CE144" s="36" t="n"/>
      <c r="CF144" s="36" t="n"/>
      <c r="CG144" s="36" t="n"/>
      <c r="CH144" s="36" t="n"/>
      <c r="CI144" s="36" t="n"/>
      <c r="CJ144" s="36" t="n"/>
      <c r="CK144" s="36" t="n"/>
      <c r="CL144" s="36" t="n"/>
      <c r="CM144" s="36" t="n"/>
      <c r="CN144" s="2" t="n"/>
      <c r="CO144" s="2" t="n"/>
      <c r="CP144" s="2" t="n"/>
      <c r="CQ144" s="2" t="n"/>
      <c r="CR144" s="2" t="n"/>
      <c r="CS144" s="2" t="n"/>
      <c r="CT144" s="2" t="n"/>
      <c r="CU144" s="2" t="n"/>
      <c r="CV144" s="2" t="n"/>
      <c r="CW144" s="2" t="n"/>
      <c r="CX144" s="2" t="n"/>
      <c r="CY144" s="2" t="n"/>
      <c r="CZ144" s="2" t="n"/>
      <c r="DA144" s="2" t="n"/>
      <c r="DB144" s="2" t="n"/>
      <c r="DC144" s="2" t="n"/>
      <c r="DD144" s="2" t="n"/>
      <c r="DE144" s="2" t="n"/>
      <c r="DF144" s="2" t="n"/>
      <c r="DG144" s="2" t="n"/>
      <c r="DH144" s="2" t="n"/>
    </row>
    <row r="145" ht="45" customFormat="1" customHeight="1" s="76">
      <c r="A145" s="34" t="n"/>
      <c r="B145" s="34" t="n"/>
      <c r="C145" s="45" t="n"/>
      <c r="D145" s="36" t="n"/>
      <c r="E145" s="36" t="n"/>
      <c r="F145" s="36" t="n"/>
      <c r="G145" s="36" t="n"/>
      <c r="H145" s="36" t="n"/>
      <c r="I145" s="36" t="n"/>
      <c r="J145" s="36" t="n"/>
      <c r="K145" s="36" t="n"/>
      <c r="L145" s="36" t="n"/>
      <c r="M145" s="36" t="n"/>
      <c r="N145" s="36" t="n"/>
      <c r="O145" s="36" t="n"/>
      <c r="P145" s="36" t="n"/>
      <c r="Q145" s="36" t="n"/>
      <c r="R145" s="36" t="n"/>
      <c r="S145" s="36" t="n"/>
      <c r="T145" s="36" t="n"/>
      <c r="U145" s="36" t="n"/>
      <c r="V145" s="36" t="n"/>
      <c r="W145" s="36" t="n"/>
      <c r="X145" s="36" t="n"/>
      <c r="Y145" s="36" t="n"/>
      <c r="Z145" s="36" t="n"/>
      <c r="AA145" s="36" t="n"/>
      <c r="AB145" s="36" t="n"/>
      <c r="AC145" s="36" t="n"/>
      <c r="AD145" s="36" t="n"/>
      <c r="AE145" s="36" t="n"/>
      <c r="AF145" s="36" t="n"/>
      <c r="AG145" s="36" t="n"/>
      <c r="AH145" s="36" t="n"/>
      <c r="AI145" s="36" t="n"/>
      <c r="AJ145" s="36" t="n"/>
      <c r="AK145" s="36" t="n"/>
      <c r="AL145" s="36" t="n"/>
      <c r="AM145" s="36" t="n"/>
      <c r="AN145" s="36" t="n"/>
      <c r="AO145" s="36" t="n"/>
      <c r="AP145" s="36" t="n"/>
      <c r="AQ145" s="36" t="n"/>
      <c r="AR145" s="36" t="n"/>
      <c r="AS145" s="36" t="n"/>
      <c r="AT145" s="36" t="n"/>
      <c r="AU145" s="36" t="n"/>
      <c r="AV145" s="36" t="n"/>
      <c r="AW145" s="36" t="n"/>
      <c r="AX145" s="36" t="n"/>
      <c r="AY145" s="36" t="n"/>
      <c r="AZ145" s="36" t="n"/>
      <c r="BA145" s="36" t="n"/>
      <c r="BB145" s="36" t="n"/>
      <c r="BC145" s="36" t="n"/>
      <c r="BD145" s="36" t="n"/>
      <c r="BE145" s="36" t="n"/>
      <c r="BF145" s="36" t="n"/>
      <c r="BG145" s="36" t="n"/>
      <c r="BH145" s="36" t="n"/>
      <c r="BI145" s="36" t="n"/>
      <c r="BJ145" s="36" t="n"/>
      <c r="BK145" s="36" t="n"/>
      <c r="BL145" s="36" t="n"/>
      <c r="BM145" s="36" t="n"/>
      <c r="BN145" s="36" t="n"/>
      <c r="BO145" s="36" t="n"/>
      <c r="BP145" s="36" t="n"/>
      <c r="BQ145" s="36" t="n"/>
      <c r="BR145" s="36" t="n"/>
      <c r="BS145" s="36" t="n"/>
      <c r="BT145" s="36" t="n"/>
      <c r="BU145" s="36" t="n"/>
      <c r="BV145" s="36" t="n"/>
      <c r="BW145" s="36" t="n"/>
      <c r="BX145" s="36" t="n"/>
      <c r="BY145" s="36" t="n"/>
      <c r="BZ145" s="36" t="n"/>
      <c r="CA145" s="36" t="n"/>
      <c r="CB145" s="36" t="n"/>
      <c r="CC145" s="36" t="n"/>
      <c r="CD145" s="36" t="n"/>
      <c r="CE145" s="36" t="n"/>
      <c r="CF145" s="36" t="n"/>
      <c r="CG145" s="36" t="n"/>
      <c r="CH145" s="36" t="n"/>
      <c r="CI145" s="36" t="n"/>
      <c r="CJ145" s="36" t="n"/>
      <c r="CK145" s="36" t="n"/>
      <c r="CL145" s="36" t="n"/>
      <c r="CM145" s="36" t="n"/>
      <c r="CN145" s="2" t="n"/>
      <c r="CO145" s="2" t="n"/>
      <c r="CP145" s="2" t="n"/>
      <c r="CQ145" s="2" t="n"/>
      <c r="CR145" s="2" t="n"/>
      <c r="CS145" s="2" t="n"/>
      <c r="CT145" s="2" t="n"/>
      <c r="CU145" s="2" t="n"/>
      <c r="CV145" s="2" t="n"/>
      <c r="CW145" s="2" t="n"/>
      <c r="CX145" s="2" t="n"/>
      <c r="CY145" s="2" t="n"/>
      <c r="CZ145" s="2" t="n"/>
      <c r="DA145" s="2" t="n"/>
      <c r="DB145" s="2" t="n"/>
      <c r="DC145" s="2" t="n"/>
      <c r="DD145" s="2" t="n"/>
      <c r="DE145" s="2" t="n"/>
      <c r="DF145" s="2" t="n"/>
      <c r="DG145" s="2" t="n"/>
      <c r="DH145" s="2" t="n"/>
    </row>
    <row r="146" ht="45" customFormat="1" customHeight="1" s="76">
      <c r="A146" s="34" t="n"/>
      <c r="B146" s="34" t="n"/>
      <c r="C146" s="45" t="n"/>
      <c r="D146" s="36" t="n"/>
      <c r="E146" s="36" t="n"/>
      <c r="F146" s="36" t="n"/>
      <c r="G146" s="36" t="n"/>
      <c r="H146" s="36" t="n"/>
      <c r="I146" s="36" t="n"/>
      <c r="J146" s="36" t="n"/>
      <c r="K146" s="36" t="n"/>
      <c r="L146" s="36" t="n"/>
      <c r="M146" s="36" t="n"/>
      <c r="N146" s="36" t="n"/>
      <c r="O146" s="36" t="n"/>
      <c r="P146" s="36" t="n"/>
      <c r="Q146" s="36" t="n"/>
      <c r="R146" s="36" t="n"/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  <c r="AB146" s="36" t="n"/>
      <c r="AC146" s="36" t="n"/>
      <c r="AD146" s="36" t="n"/>
      <c r="AE146" s="36" t="n"/>
      <c r="AF146" s="36" t="n"/>
      <c r="AG146" s="36" t="n"/>
      <c r="AH146" s="36" t="n"/>
      <c r="AI146" s="36" t="n"/>
      <c r="AJ146" s="36" t="n"/>
      <c r="AK146" s="36" t="n"/>
      <c r="AL146" s="36" t="n"/>
      <c r="AM146" s="36" t="n"/>
      <c r="AN146" s="36" t="n"/>
      <c r="AO146" s="36" t="n"/>
      <c r="AP146" s="36" t="n"/>
      <c r="AQ146" s="36" t="n"/>
      <c r="AR146" s="36" t="n"/>
      <c r="AS146" s="36" t="n"/>
      <c r="AT146" s="36" t="n"/>
      <c r="AU146" s="36" t="n"/>
      <c r="AV146" s="36" t="n"/>
      <c r="AW146" s="36" t="n"/>
      <c r="AX146" s="36" t="n"/>
      <c r="AY146" s="36" t="n"/>
      <c r="AZ146" s="36" t="n"/>
      <c r="BA146" s="36" t="n"/>
      <c r="BB146" s="36" t="n"/>
      <c r="BC146" s="36" t="n"/>
      <c r="BD146" s="36" t="n"/>
      <c r="BE146" s="36" t="n"/>
      <c r="BF146" s="36" t="n"/>
      <c r="BG146" s="36" t="n"/>
      <c r="BH146" s="36" t="n"/>
      <c r="BI146" s="36" t="n"/>
      <c r="BJ146" s="36" t="n"/>
      <c r="BK146" s="36" t="n"/>
      <c r="BL146" s="36" t="n"/>
      <c r="BM146" s="36" t="n"/>
      <c r="BN146" s="36" t="n"/>
      <c r="BO146" s="36" t="n"/>
      <c r="BP146" s="36" t="n"/>
      <c r="BQ146" s="36" t="n"/>
      <c r="BR146" s="36" t="n"/>
      <c r="BS146" s="36" t="n"/>
      <c r="BT146" s="36" t="n"/>
      <c r="BU146" s="36" t="n"/>
      <c r="BV146" s="36" t="n"/>
      <c r="BW146" s="36" t="n"/>
      <c r="BX146" s="36" t="n"/>
      <c r="BY146" s="36" t="n"/>
      <c r="BZ146" s="36" t="n"/>
      <c r="CA146" s="36" t="n"/>
      <c r="CB146" s="36" t="n"/>
      <c r="CC146" s="36" t="n"/>
      <c r="CD146" s="36" t="n"/>
      <c r="CE146" s="36" t="n"/>
      <c r="CF146" s="36" t="n"/>
      <c r="CG146" s="36" t="n"/>
      <c r="CH146" s="36" t="n"/>
      <c r="CI146" s="36" t="n"/>
      <c r="CJ146" s="36" t="n"/>
      <c r="CK146" s="36" t="n"/>
      <c r="CL146" s="36" t="n"/>
      <c r="CM146" s="36" t="n"/>
      <c r="CN146" s="2" t="n"/>
      <c r="CO146" s="2" t="n"/>
      <c r="CP146" s="2" t="n"/>
      <c r="CQ146" s="2" t="n"/>
      <c r="CR146" s="2" t="n"/>
      <c r="CS146" s="2" t="n"/>
      <c r="CT146" s="2" t="n"/>
      <c r="CU146" s="2" t="n"/>
      <c r="CV146" s="2" t="n"/>
      <c r="CW146" s="2" t="n"/>
      <c r="CX146" s="2" t="n"/>
      <c r="CY146" s="2" t="n"/>
      <c r="CZ146" s="2" t="n"/>
      <c r="DA146" s="2" t="n"/>
      <c r="DB146" s="2" t="n"/>
      <c r="DC146" s="2" t="n"/>
      <c r="DD146" s="2" t="n"/>
      <c r="DE146" s="2" t="n"/>
      <c r="DF146" s="2" t="n"/>
      <c r="DG146" s="2" t="n"/>
      <c r="DH146" s="2" t="n"/>
    </row>
    <row r="147" ht="45" customFormat="1" customHeight="1" s="76">
      <c r="A147" s="35" t="n"/>
      <c r="B147" s="34" t="n"/>
      <c r="C147" s="45" t="n"/>
      <c r="D147" s="36" t="n"/>
      <c r="E147" s="36" t="n"/>
      <c r="F147" s="36" t="n"/>
      <c r="G147" s="36" t="n"/>
      <c r="H147" s="36" t="n"/>
      <c r="I147" s="36" t="n"/>
      <c r="J147" s="36" t="n"/>
      <c r="K147" s="36" t="n"/>
      <c r="L147" s="36" t="n"/>
      <c r="M147" s="36" t="n"/>
      <c r="N147" s="36" t="n"/>
      <c r="O147" s="36" t="n"/>
      <c r="P147" s="36" t="n"/>
      <c r="Q147" s="36" t="n"/>
      <c r="R147" s="36" t="n"/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  <c r="AB147" s="36" t="n"/>
      <c r="AC147" s="36" t="n"/>
      <c r="AD147" s="36" t="n"/>
      <c r="AE147" s="36" t="n"/>
      <c r="AF147" s="36" t="n"/>
      <c r="AG147" s="36" t="n"/>
      <c r="AH147" s="36" t="n"/>
      <c r="AI147" s="36" t="n"/>
      <c r="AJ147" s="36" t="n"/>
      <c r="AK147" s="36" t="n"/>
      <c r="AL147" s="36" t="n"/>
      <c r="AM147" s="36" t="n"/>
      <c r="AN147" s="36" t="n"/>
      <c r="AO147" s="36" t="n"/>
      <c r="AP147" s="36" t="n"/>
      <c r="AQ147" s="36" t="n"/>
      <c r="AR147" s="36" t="n"/>
      <c r="AS147" s="36" t="n"/>
      <c r="AT147" s="36" t="n"/>
      <c r="AU147" s="36" t="n"/>
      <c r="AV147" s="36" t="n"/>
      <c r="AW147" s="36" t="n"/>
      <c r="AX147" s="36" t="n"/>
      <c r="AY147" s="36" t="n"/>
      <c r="AZ147" s="36" t="n"/>
      <c r="BA147" s="36" t="n"/>
      <c r="BB147" s="36" t="n"/>
      <c r="BC147" s="36" t="n"/>
      <c r="BD147" s="36" t="n"/>
      <c r="BE147" s="36" t="n"/>
      <c r="BF147" s="36" t="n"/>
      <c r="BG147" s="36" t="n"/>
      <c r="BH147" s="36" t="n"/>
      <c r="BI147" s="36" t="n"/>
      <c r="BJ147" s="36" t="n"/>
      <c r="BK147" s="36" t="n"/>
      <c r="BL147" s="36" t="n"/>
      <c r="BM147" s="36" t="n"/>
      <c r="BN147" s="36" t="n"/>
      <c r="BO147" s="36" t="n"/>
      <c r="BP147" s="36" t="n"/>
      <c r="BQ147" s="36" t="n"/>
      <c r="BR147" s="36" t="n"/>
      <c r="BS147" s="36" t="n"/>
      <c r="BT147" s="36" t="n"/>
      <c r="BU147" s="36" t="n"/>
      <c r="BV147" s="36" t="n"/>
      <c r="BW147" s="36" t="n"/>
      <c r="BX147" s="36" t="n"/>
      <c r="BY147" s="36" t="n"/>
      <c r="BZ147" s="36" t="n"/>
      <c r="CA147" s="36" t="n"/>
      <c r="CB147" s="36" t="n"/>
      <c r="CC147" s="36" t="n"/>
      <c r="CD147" s="36" t="n"/>
      <c r="CE147" s="36" t="n"/>
      <c r="CF147" s="36" t="n"/>
      <c r="CG147" s="36" t="n"/>
      <c r="CH147" s="36" t="n"/>
      <c r="CI147" s="36" t="n"/>
      <c r="CJ147" s="36" t="n"/>
      <c r="CK147" s="36" t="n"/>
      <c r="CL147" s="36" t="n"/>
      <c r="CM147" s="36" t="n"/>
      <c r="CN147" s="2" t="n"/>
      <c r="CO147" s="2" t="n"/>
      <c r="CP147" s="2" t="n"/>
      <c r="CQ147" s="2" t="n"/>
      <c r="CR147" s="2" t="n"/>
      <c r="CS147" s="2" t="n"/>
      <c r="CT147" s="2" t="n"/>
      <c r="CU147" s="2" t="n"/>
      <c r="CV147" s="2" t="n"/>
      <c r="CW147" s="2" t="n"/>
      <c r="CX147" s="2" t="n"/>
      <c r="CY147" s="2" t="n"/>
      <c r="CZ147" s="2" t="n"/>
      <c r="DA147" s="2" t="n"/>
      <c r="DB147" s="2" t="n"/>
      <c r="DC147" s="2" t="n"/>
      <c r="DD147" s="2" t="n"/>
      <c r="DE147" s="2" t="n"/>
      <c r="DF147" s="2" t="n"/>
      <c r="DG147" s="2" t="n"/>
      <c r="DH147" s="2" t="n"/>
    </row>
    <row r="148" ht="45" customFormat="1" customHeight="1" s="76">
      <c r="A148" s="34" t="n"/>
      <c r="B148" s="34" t="n"/>
      <c r="C148" s="45" t="n"/>
      <c r="D148" s="36" t="n"/>
      <c r="E148" s="36" t="n"/>
      <c r="F148" s="36" t="n"/>
      <c r="G148" s="36" t="n"/>
      <c r="H148" s="36" t="n"/>
      <c r="I148" s="36" t="n"/>
      <c r="J148" s="36" t="n"/>
      <c r="K148" s="36" t="n"/>
      <c r="L148" s="36" t="n"/>
      <c r="M148" s="36" t="n"/>
      <c r="N148" s="36" t="n"/>
      <c r="O148" s="36" t="n"/>
      <c r="P148" s="36" t="n"/>
      <c r="Q148" s="36" t="n"/>
      <c r="R148" s="36" t="n"/>
      <c r="S148" s="36" t="n"/>
      <c r="T148" s="36" t="n"/>
      <c r="U148" s="36" t="n"/>
      <c r="V148" s="36" t="n"/>
      <c r="W148" s="36" t="n"/>
      <c r="X148" s="36" t="n"/>
      <c r="Y148" s="36" t="n"/>
      <c r="Z148" s="36" t="n"/>
      <c r="AA148" s="36" t="n"/>
      <c r="AB148" s="36" t="n"/>
      <c r="AC148" s="36" t="n"/>
      <c r="AD148" s="36" t="n"/>
      <c r="AE148" s="36" t="n"/>
      <c r="AF148" s="36" t="n"/>
      <c r="AG148" s="36" t="n"/>
      <c r="AH148" s="36" t="n"/>
      <c r="AI148" s="36" t="n"/>
      <c r="AJ148" s="36" t="n"/>
      <c r="AK148" s="36" t="n"/>
      <c r="AL148" s="36" t="n"/>
      <c r="AM148" s="36" t="n"/>
      <c r="AN148" s="36" t="n"/>
      <c r="AO148" s="36" t="n"/>
      <c r="AP148" s="36" t="n"/>
      <c r="AQ148" s="36" t="n"/>
      <c r="AR148" s="36" t="n"/>
      <c r="AS148" s="36" t="n"/>
      <c r="AT148" s="36" t="n"/>
      <c r="AU148" s="36" t="n"/>
      <c r="AV148" s="36" t="n"/>
      <c r="AW148" s="36" t="n"/>
      <c r="AX148" s="36" t="n"/>
      <c r="AY148" s="36" t="n"/>
      <c r="AZ148" s="36" t="n"/>
      <c r="BA148" s="36" t="n"/>
      <c r="BB148" s="36" t="n"/>
      <c r="BC148" s="36" t="n"/>
      <c r="BD148" s="36" t="n"/>
      <c r="BE148" s="36" t="n"/>
      <c r="BF148" s="36" t="n"/>
      <c r="BG148" s="36" t="n"/>
      <c r="BH148" s="36" t="n"/>
      <c r="BI148" s="36" t="n"/>
      <c r="BJ148" s="36" t="n"/>
      <c r="BK148" s="36" t="n"/>
      <c r="BL148" s="36" t="n"/>
      <c r="BM148" s="36" t="n"/>
      <c r="BN148" s="36" t="n"/>
      <c r="BO148" s="36" t="n"/>
      <c r="BP148" s="36" t="n"/>
      <c r="BQ148" s="36" t="n"/>
      <c r="BR148" s="36" t="n"/>
      <c r="BS148" s="36" t="n"/>
      <c r="BT148" s="36" t="n"/>
      <c r="BU148" s="36" t="n"/>
      <c r="BV148" s="36" t="n"/>
      <c r="BW148" s="36" t="n"/>
      <c r="BX148" s="36" t="n"/>
      <c r="BY148" s="36" t="n"/>
      <c r="BZ148" s="36" t="n"/>
      <c r="CA148" s="36" t="n"/>
      <c r="CB148" s="36" t="n"/>
      <c r="CC148" s="36" t="n"/>
      <c r="CD148" s="36" t="n"/>
      <c r="CE148" s="36" t="n"/>
      <c r="CF148" s="36" t="n"/>
      <c r="CG148" s="36" t="n"/>
      <c r="CH148" s="36" t="n"/>
      <c r="CI148" s="36" t="n"/>
      <c r="CJ148" s="36" t="n"/>
      <c r="CK148" s="36" t="n"/>
      <c r="CL148" s="36" t="n"/>
      <c r="CM148" s="36" t="n"/>
      <c r="CN148" s="2" t="n"/>
      <c r="CO148" s="2" t="n"/>
      <c r="CP148" s="2" t="n"/>
      <c r="CQ148" s="2" t="n"/>
      <c r="CR148" s="2" t="n"/>
      <c r="CS148" s="2" t="n"/>
      <c r="CT148" s="2" t="n"/>
      <c r="CU148" s="2" t="n"/>
      <c r="CV148" s="2" t="n"/>
      <c r="CW148" s="2" t="n"/>
      <c r="CX148" s="2" t="n"/>
      <c r="CY148" s="2" t="n"/>
      <c r="CZ148" s="2" t="n"/>
      <c r="DA148" s="2" t="n"/>
      <c r="DB148" s="2" t="n"/>
      <c r="DC148" s="2" t="n"/>
      <c r="DD148" s="2" t="n"/>
      <c r="DE148" s="2" t="n"/>
      <c r="DF148" s="2" t="n"/>
      <c r="DG148" s="2" t="n"/>
      <c r="DH148" s="2" t="n"/>
    </row>
    <row r="149" ht="45" customFormat="1" customHeight="1" s="76">
      <c r="A149" s="34" t="n"/>
      <c r="B149" s="34" t="n"/>
      <c r="C149" s="45" t="n"/>
      <c r="D149" s="36" t="n"/>
      <c r="E149" s="36" t="n"/>
      <c r="F149" s="36" t="n"/>
      <c r="G149" s="36" t="n"/>
      <c r="H149" s="36" t="n"/>
      <c r="I149" s="36" t="n"/>
      <c r="J149" s="36" t="n"/>
      <c r="K149" s="36" t="n"/>
      <c r="L149" s="36" t="n"/>
      <c r="M149" s="36" t="n"/>
      <c r="N149" s="36" t="n"/>
      <c r="O149" s="36" t="n"/>
      <c r="P149" s="36" t="n"/>
      <c r="Q149" s="36" t="n"/>
      <c r="R149" s="36" t="n"/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  <c r="AB149" s="36" t="n"/>
      <c r="AC149" s="36" t="n"/>
      <c r="AD149" s="36" t="n"/>
      <c r="AE149" s="36" t="n"/>
      <c r="AF149" s="36" t="n"/>
      <c r="AG149" s="36" t="n"/>
      <c r="AH149" s="36" t="n"/>
      <c r="AI149" s="36" t="n"/>
      <c r="AJ149" s="36" t="n"/>
      <c r="AK149" s="36" t="n"/>
      <c r="AL149" s="36" t="n"/>
      <c r="AM149" s="36" t="n"/>
      <c r="AN149" s="36" t="n"/>
      <c r="AO149" s="36" t="n"/>
      <c r="AP149" s="36" t="n"/>
      <c r="AQ149" s="36" t="n"/>
      <c r="AR149" s="36" t="n"/>
      <c r="AS149" s="36" t="n"/>
      <c r="AT149" s="36" t="n"/>
      <c r="AU149" s="36" t="n"/>
      <c r="AV149" s="36" t="n"/>
      <c r="AW149" s="36" t="n"/>
      <c r="AX149" s="36" t="n"/>
      <c r="AY149" s="36" t="n"/>
      <c r="AZ149" s="36" t="n"/>
      <c r="BA149" s="36" t="n"/>
      <c r="BB149" s="36" t="n"/>
      <c r="BC149" s="36" t="n"/>
      <c r="BD149" s="36" t="n"/>
      <c r="BE149" s="36" t="n"/>
      <c r="BF149" s="36" t="n"/>
      <c r="BG149" s="36" t="n"/>
      <c r="BH149" s="36" t="n"/>
      <c r="BI149" s="36" t="n"/>
      <c r="BJ149" s="36" t="n"/>
      <c r="BK149" s="36" t="n"/>
      <c r="BL149" s="36" t="n"/>
      <c r="BM149" s="36" t="n"/>
      <c r="BN149" s="36" t="n"/>
      <c r="BO149" s="36" t="n"/>
      <c r="BP149" s="36" t="n"/>
      <c r="BQ149" s="36" t="n"/>
      <c r="BR149" s="36" t="n"/>
      <c r="BS149" s="36" t="n"/>
      <c r="BT149" s="36" t="n"/>
      <c r="BU149" s="36" t="n"/>
      <c r="BV149" s="36" t="n"/>
      <c r="BW149" s="36" t="n"/>
      <c r="BX149" s="36" t="n"/>
      <c r="BY149" s="36" t="n"/>
      <c r="BZ149" s="36" t="n"/>
      <c r="CA149" s="36" t="n"/>
      <c r="CB149" s="36" t="n"/>
      <c r="CC149" s="36" t="n"/>
      <c r="CD149" s="36" t="n"/>
      <c r="CE149" s="36" t="n"/>
      <c r="CF149" s="36" t="n"/>
      <c r="CG149" s="36" t="n"/>
      <c r="CH149" s="36" t="n"/>
      <c r="CI149" s="36" t="n"/>
      <c r="CJ149" s="36" t="n"/>
      <c r="CK149" s="36" t="n"/>
      <c r="CL149" s="36" t="n"/>
      <c r="CM149" s="36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/>
      <c r="DA149" s="2" t="n"/>
      <c r="DB149" s="2" t="n"/>
      <c r="DC149" s="2" t="n"/>
      <c r="DD149" s="2" t="n"/>
      <c r="DE149" s="2" t="n"/>
      <c r="DF149" s="2" t="n"/>
      <c r="DG149" s="2" t="n"/>
      <c r="DH149" s="2" t="n"/>
    </row>
    <row r="150" ht="27.95" customFormat="1" customHeight="1" s="76">
      <c r="A150" s="34" t="n"/>
      <c r="B150" s="35" t="n"/>
      <c r="C150" s="46" t="n"/>
      <c r="D150" s="44" t="n"/>
      <c r="E150" s="44" t="n"/>
      <c r="F150" s="44" t="n"/>
      <c r="G150" s="44" t="n"/>
      <c r="H150" s="44" t="n"/>
      <c r="I150" s="44" t="n"/>
      <c r="J150" s="44" t="n"/>
      <c r="K150" s="44" t="n"/>
      <c r="L150" s="44" t="n"/>
      <c r="M150" s="44" t="n"/>
      <c r="N150" s="44" t="n"/>
      <c r="O150" s="44" t="n"/>
      <c r="P150" s="44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  <c r="AC150" s="44" t="n"/>
      <c r="AD150" s="44" t="n"/>
      <c r="AE150" s="44" t="n"/>
      <c r="AF150" s="44" t="n"/>
      <c r="AG150" s="44" t="n"/>
      <c r="AH150" s="44" t="n"/>
      <c r="AI150" s="44" t="n"/>
      <c r="AJ150" s="44" t="n"/>
      <c r="AK150" s="44" t="n"/>
      <c r="AL150" s="44" t="n"/>
      <c r="AM150" s="44" t="n"/>
      <c r="AN150" s="44" t="n"/>
      <c r="AO150" s="44" t="n"/>
      <c r="AP150" s="44" t="n"/>
      <c r="AQ150" s="44" t="n"/>
      <c r="AR150" s="44" t="n"/>
      <c r="AS150" s="44" t="n"/>
      <c r="AT150" s="44" t="n"/>
      <c r="AU150" s="44" t="n"/>
      <c r="AV150" s="44" t="n"/>
      <c r="AW150" s="44" t="n"/>
      <c r="AX150" s="44" t="n"/>
      <c r="AY150" s="44" t="n"/>
      <c r="AZ150" s="44" t="n"/>
      <c r="BA150" s="44" t="n"/>
      <c r="BB150" s="44" t="n"/>
      <c r="BC150" s="44" t="n"/>
      <c r="BD150" s="44" t="n"/>
      <c r="BE150" s="44" t="n"/>
      <c r="BF150" s="44" t="n"/>
      <c r="BG150" s="44" t="n"/>
      <c r="BH150" s="44" t="n"/>
      <c r="BI150" s="44" t="n"/>
      <c r="BJ150" s="44" t="n"/>
      <c r="BK150" s="44" t="n"/>
      <c r="BL150" s="44" t="n"/>
      <c r="BM150" s="44" t="n"/>
      <c r="BN150" s="44" t="n"/>
      <c r="BO150" s="44" t="n"/>
      <c r="BP150" s="44" t="n"/>
      <c r="BQ150" s="44" t="n"/>
      <c r="BR150" s="44" t="n"/>
      <c r="BS150" s="44" t="n"/>
      <c r="BT150" s="44" t="n"/>
      <c r="BU150" s="44" t="n"/>
      <c r="BV150" s="44" t="n"/>
      <c r="BW150" s="44" t="n"/>
      <c r="BX150" s="44" t="n"/>
      <c r="BY150" s="44" t="n"/>
      <c r="BZ150" s="44" t="n"/>
      <c r="CA150" s="44" t="n"/>
      <c r="CB150" s="44" t="n"/>
      <c r="CC150" s="44" t="n"/>
      <c r="CD150" s="44" t="n"/>
      <c r="CE150" s="44" t="n"/>
      <c r="CF150" s="44" t="n"/>
      <c r="CG150" s="44" t="n"/>
      <c r="CH150" s="44" t="n"/>
      <c r="CI150" s="44" t="n"/>
      <c r="CJ150" s="44" t="n"/>
      <c r="CK150" s="44" t="n"/>
      <c r="CL150" s="44" t="n"/>
      <c r="CM150" s="44" t="n"/>
      <c r="CN150" s="2" t="n"/>
      <c r="CO150" s="2" t="n"/>
      <c r="CP150" s="2" t="n"/>
      <c r="CQ150" s="2" t="n"/>
      <c r="CR150" s="2" t="n"/>
      <c r="CS150" s="2" t="n"/>
      <c r="CT150" s="2" t="n"/>
      <c r="CU150" s="2" t="n"/>
      <c r="CV150" s="2" t="n"/>
      <c r="CW150" s="2" t="n"/>
      <c r="CX150" s="2" t="n"/>
      <c r="CY150" s="2" t="n"/>
      <c r="CZ150" s="2" t="n"/>
      <c r="DA150" s="2" t="n"/>
      <c r="DB150" s="2" t="n"/>
      <c r="DC150" s="2" t="n"/>
      <c r="DD150" s="2" t="n"/>
      <c r="DE150" s="2" t="n"/>
      <c r="DF150" s="2" t="n"/>
      <c r="DG150" s="2" t="n"/>
      <c r="DH150" s="2" t="n"/>
    </row>
    <row r="151" ht="45" customFormat="1" customHeight="1" s="76">
      <c r="A151" s="34" t="n"/>
      <c r="B151" s="34" t="n"/>
      <c r="C151" s="45" t="n"/>
      <c r="D151" s="36" t="n"/>
      <c r="E151" s="36" t="n"/>
      <c r="F151" s="36" t="n"/>
      <c r="G151" s="36" t="n"/>
      <c r="H151" s="36" t="n"/>
      <c r="I151" s="36" t="n"/>
      <c r="J151" s="36" t="n"/>
      <c r="K151" s="36" t="n"/>
      <c r="L151" s="36" t="n"/>
      <c r="M151" s="36" t="n"/>
      <c r="N151" s="36" t="n"/>
      <c r="O151" s="36" t="n"/>
      <c r="P151" s="36" t="n"/>
      <c r="Q151" s="36" t="n"/>
      <c r="R151" s="36" t="n"/>
      <c r="S151" s="36" t="n"/>
      <c r="T151" s="36" t="n"/>
      <c r="U151" s="36" t="n"/>
      <c r="V151" s="36" t="n"/>
      <c r="W151" s="36" t="n"/>
      <c r="X151" s="36" t="n"/>
      <c r="Y151" s="36" t="n"/>
      <c r="Z151" s="36" t="n"/>
      <c r="AA151" s="36" t="n"/>
      <c r="AB151" s="36" t="n"/>
      <c r="AC151" s="36" t="n"/>
      <c r="AD151" s="36" t="n"/>
      <c r="AE151" s="36" t="n"/>
      <c r="AF151" s="36" t="n"/>
      <c r="AG151" s="36" t="n"/>
      <c r="AH151" s="36" t="n"/>
      <c r="AI151" s="36" t="n"/>
      <c r="AJ151" s="36" t="n"/>
      <c r="AK151" s="36" t="n"/>
      <c r="AL151" s="36" t="n"/>
      <c r="AM151" s="36" t="n"/>
      <c r="AN151" s="36" t="n"/>
      <c r="AO151" s="36" t="n"/>
      <c r="AP151" s="36" t="n"/>
      <c r="AQ151" s="36" t="n"/>
      <c r="AR151" s="36" t="n"/>
      <c r="AS151" s="36" t="n"/>
      <c r="AT151" s="36" t="n"/>
      <c r="AU151" s="36" t="n"/>
      <c r="AV151" s="36" t="n"/>
      <c r="AW151" s="36" t="n"/>
      <c r="AX151" s="36" t="n"/>
      <c r="AY151" s="36" t="n"/>
      <c r="AZ151" s="36" t="n"/>
      <c r="BA151" s="36" t="n"/>
      <c r="BB151" s="36" t="n"/>
      <c r="BC151" s="36" t="n"/>
      <c r="BD151" s="36" t="n"/>
      <c r="BE151" s="36" t="n"/>
      <c r="BF151" s="36" t="n"/>
      <c r="BG151" s="36" t="n"/>
      <c r="BH151" s="36" t="n"/>
      <c r="BI151" s="36" t="n"/>
      <c r="BJ151" s="36" t="n"/>
      <c r="BK151" s="36" t="n"/>
      <c r="BL151" s="36" t="n"/>
      <c r="BM151" s="36" t="n"/>
      <c r="BN151" s="36" t="n"/>
      <c r="BO151" s="36" t="n"/>
      <c r="BP151" s="36" t="n"/>
      <c r="BQ151" s="36" t="n"/>
      <c r="BR151" s="36" t="n"/>
      <c r="BS151" s="36" t="n"/>
      <c r="BT151" s="36" t="n"/>
      <c r="BU151" s="36" t="n"/>
      <c r="BV151" s="36" t="n"/>
      <c r="BW151" s="36" t="n"/>
      <c r="BX151" s="36" t="n"/>
      <c r="BY151" s="36" t="n"/>
      <c r="BZ151" s="36" t="n"/>
      <c r="CA151" s="36" t="n"/>
      <c r="CB151" s="36" t="n"/>
      <c r="CC151" s="36" t="n"/>
      <c r="CD151" s="36" t="n"/>
      <c r="CE151" s="36" t="n"/>
      <c r="CF151" s="36" t="n"/>
      <c r="CG151" s="36" t="n"/>
      <c r="CH151" s="36" t="n"/>
      <c r="CI151" s="36" t="n"/>
      <c r="CJ151" s="36" t="n"/>
      <c r="CK151" s="36" t="n"/>
      <c r="CL151" s="36" t="n"/>
      <c r="CM151" s="36" t="n"/>
      <c r="CN151" s="2" t="n"/>
      <c r="CO151" s="2" t="n"/>
      <c r="CP151" s="2" t="n"/>
      <c r="CQ151" s="2" t="n"/>
      <c r="CR151" s="2" t="n"/>
      <c r="CS151" s="2" t="n"/>
      <c r="CT151" s="2" t="n"/>
      <c r="CU151" s="2" t="n"/>
      <c r="CV151" s="2" t="n"/>
      <c r="CW151" s="2" t="n"/>
      <c r="CX151" s="2" t="n"/>
      <c r="CY151" s="2" t="n"/>
      <c r="CZ151" s="2" t="n"/>
      <c r="DA151" s="2" t="n"/>
      <c r="DB151" s="2" t="n"/>
      <c r="DC151" s="2" t="n"/>
      <c r="DD151" s="2" t="n"/>
      <c r="DE151" s="2" t="n"/>
      <c r="DF151" s="2" t="n"/>
      <c r="DG151" s="2" t="n"/>
      <c r="DH151" s="2" t="n"/>
    </row>
    <row r="152" ht="45" customFormat="1" customHeight="1" s="76">
      <c r="A152" s="34" t="n"/>
      <c r="B152" s="34" t="n"/>
      <c r="C152" s="45" t="n"/>
      <c r="D152" s="36" t="n"/>
      <c r="E152" s="36" t="n"/>
      <c r="F152" s="36" t="n"/>
      <c r="G152" s="36" t="n"/>
      <c r="H152" s="36" t="n"/>
      <c r="I152" s="36" t="n"/>
      <c r="J152" s="36" t="n"/>
      <c r="K152" s="36" t="n"/>
      <c r="L152" s="36" t="n"/>
      <c r="M152" s="36" t="n"/>
      <c r="N152" s="36" t="n"/>
      <c r="O152" s="36" t="n"/>
      <c r="P152" s="36" t="n"/>
      <c r="Q152" s="36" t="n"/>
      <c r="R152" s="36" t="n"/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  <c r="AB152" s="36" t="n"/>
      <c r="AC152" s="36" t="n"/>
      <c r="AD152" s="36" t="n"/>
      <c r="AE152" s="36" t="n"/>
      <c r="AF152" s="36" t="n"/>
      <c r="AG152" s="36" t="n"/>
      <c r="AH152" s="36" t="n"/>
      <c r="AI152" s="36" t="n"/>
      <c r="AJ152" s="36" t="n"/>
      <c r="AK152" s="36" t="n"/>
      <c r="AL152" s="36" t="n"/>
      <c r="AM152" s="36" t="n"/>
      <c r="AN152" s="36" t="n"/>
      <c r="AO152" s="36" t="n"/>
      <c r="AP152" s="36" t="n"/>
      <c r="AQ152" s="36" t="n"/>
      <c r="AR152" s="36" t="n"/>
      <c r="AS152" s="36" t="n"/>
      <c r="AT152" s="36" t="n"/>
      <c r="AU152" s="36" t="n"/>
      <c r="AV152" s="36" t="n"/>
      <c r="AW152" s="36" t="n"/>
      <c r="AX152" s="36" t="n"/>
      <c r="AY152" s="36" t="n"/>
      <c r="AZ152" s="36" t="n"/>
      <c r="BA152" s="36" t="n"/>
      <c r="BB152" s="36" t="n"/>
      <c r="BC152" s="36" t="n"/>
      <c r="BD152" s="36" t="n"/>
      <c r="BE152" s="36" t="n"/>
      <c r="BF152" s="36" t="n"/>
      <c r="BG152" s="36" t="n"/>
      <c r="BH152" s="36" t="n"/>
      <c r="BI152" s="36" t="n"/>
      <c r="BJ152" s="36" t="n"/>
      <c r="BK152" s="36" t="n"/>
      <c r="BL152" s="36" t="n"/>
      <c r="BM152" s="36" t="n"/>
      <c r="BN152" s="36" t="n"/>
      <c r="BO152" s="36" t="n"/>
      <c r="BP152" s="36" t="n"/>
      <c r="BQ152" s="36" t="n"/>
      <c r="BR152" s="36" t="n"/>
      <c r="BS152" s="36" t="n"/>
      <c r="BT152" s="36" t="n"/>
      <c r="BU152" s="36" t="n"/>
      <c r="BV152" s="36" t="n"/>
      <c r="BW152" s="36" t="n"/>
      <c r="BX152" s="36" t="n"/>
      <c r="BY152" s="36" t="n"/>
      <c r="BZ152" s="36" t="n"/>
      <c r="CA152" s="36" t="n"/>
      <c r="CB152" s="36" t="n"/>
      <c r="CC152" s="36" t="n"/>
      <c r="CD152" s="36" t="n"/>
      <c r="CE152" s="36" t="n"/>
      <c r="CF152" s="36" t="n"/>
      <c r="CG152" s="36" t="n"/>
      <c r="CH152" s="36" t="n"/>
      <c r="CI152" s="36" t="n"/>
      <c r="CJ152" s="36" t="n"/>
      <c r="CK152" s="36" t="n"/>
      <c r="CL152" s="36" t="n"/>
      <c r="CM152" s="36" t="n"/>
      <c r="CN152" s="2" t="n"/>
      <c r="CO152" s="2" t="n"/>
      <c r="CP152" s="2" t="n"/>
      <c r="CQ152" s="2" t="n"/>
      <c r="CR152" s="2" t="n"/>
      <c r="CS152" s="2" t="n"/>
      <c r="CT152" s="2" t="n"/>
      <c r="CU152" s="2" t="n"/>
      <c r="CV152" s="2" t="n"/>
      <c r="CW152" s="2" t="n"/>
      <c r="CX152" s="2" t="n"/>
      <c r="CY152" s="2" t="n"/>
      <c r="CZ152" s="2" t="n"/>
      <c r="DA152" s="2" t="n"/>
      <c r="DB152" s="2" t="n"/>
      <c r="DC152" s="2" t="n"/>
      <c r="DD152" s="2" t="n"/>
      <c r="DE152" s="2" t="n"/>
      <c r="DF152" s="2" t="n"/>
      <c r="DG152" s="2" t="n"/>
      <c r="DH152" s="2" t="n"/>
    </row>
    <row r="153" ht="69.95" customFormat="1" customHeight="1" s="76">
      <c r="A153" s="34" t="n"/>
      <c r="B153" s="34" t="n"/>
      <c r="C153" s="45" t="n"/>
      <c r="D153" s="36">
        <f>"D ФОТО/РЕФЕРЕНС | Фон: "&amp;D86&amp;" | Персонаж: "&amp;D100&amp;" | Сборка: "&amp;D111&amp;" | Сохранить: "&amp;D67&amp;" | Изменить: "&amp;D68&amp;" | Нельзя: "&amp;D110</f>
        <v/>
      </c>
      <c r="E153" s="36">
        <f>"E ФОТО/РЕФЕРЕНС | Фон: "&amp;E86&amp;" | Персонаж: "&amp;E100&amp;" | Сборка: "&amp;E111&amp;" | Сохранить: "&amp;E67&amp;" | Изменить: "&amp;E68&amp;" | Нельзя: "&amp;E110</f>
        <v/>
      </c>
      <c r="F153" s="36">
        <f>"F ФОТО/РЕФЕРЕНС | Фон: "&amp;F86&amp;" | Персонаж: "&amp;F100&amp;" | Сборка: "&amp;F111&amp;" | Сохранить: "&amp;F67&amp;" | Изменить: "&amp;F68&amp;" | Нельзя: "&amp;F110</f>
        <v/>
      </c>
      <c r="G153" s="36">
        <f>"G ФОТО/РЕФЕРЕНС | Фон: "&amp;G86&amp;" | Персонаж: "&amp;G100&amp;" | Сборка: "&amp;G111&amp;" | Сохранить: "&amp;G67&amp;" | Изменить: "&amp;G68&amp;" | Нельзя: "&amp;G110</f>
        <v/>
      </c>
      <c r="H153" s="36">
        <f>"H ФОТО/РЕФЕРЕНС | Фон: "&amp;H86&amp;" | Персонаж: "&amp;H100&amp;" | Сборка: "&amp;H111&amp;" | Сохранить: "&amp;H67&amp;" | Изменить: "&amp;H68&amp;" | Нельзя: "&amp;H110</f>
        <v/>
      </c>
      <c r="I153" s="36">
        <f>"I ФОТО/РЕФЕРЕНС | Фон: "&amp;I86&amp;" | Персонаж: "&amp;I100&amp;" | Сборка: "&amp;I111&amp;" | Сохранить: "&amp;I67&amp;" | Изменить: "&amp;I68&amp;" | Нельзя: "&amp;I110</f>
        <v/>
      </c>
      <c r="J153" s="36">
        <f>"J ФОТО/РЕФЕРЕНС | Фон: "&amp;J86&amp;" | Персонаж: "&amp;J100&amp;" | Сборка: "&amp;J111&amp;" | Сохранить: "&amp;J67&amp;" | Изменить: "&amp;J68&amp;" | Нельзя: "&amp;J110</f>
        <v/>
      </c>
      <c r="K153" s="36">
        <f>"K ФОТО/РЕФЕРЕНС | Фон: "&amp;K86&amp;" | Персонаж: "&amp;K100&amp;" | Сборка: "&amp;K111&amp;" | Сохранить: "&amp;K67&amp;" | Изменить: "&amp;K68&amp;" | Нельзя: "&amp;K110</f>
        <v/>
      </c>
      <c r="L153" s="36">
        <f>"L ФОТО/РЕФЕРЕНС | Фон: "&amp;L86&amp;" | Персонаж: "&amp;L100&amp;" | Сборка: "&amp;L111&amp;" | Сохранить: "&amp;L67&amp;" | Изменить: "&amp;L68&amp;" | Нельзя: "&amp;L110</f>
        <v/>
      </c>
      <c r="M153" s="36">
        <f>"M ФОТО/РЕФЕРЕНС | Фон: "&amp;M86&amp;" | Персонаж: "&amp;M100&amp;" | Сборка: "&amp;M111&amp;" | Сохранить: "&amp;M67&amp;" | Изменить: "&amp;M68&amp;" | Нельзя: "&amp;M110</f>
        <v/>
      </c>
      <c r="N153" s="36">
        <f>"N ФОТО/РЕФЕРЕНС | Фон: "&amp;N86&amp;" | Персонаж: "&amp;N100&amp;" | Сборка: "&amp;N111&amp;" | Сохранить: "&amp;N67&amp;" | Изменить: "&amp;N68&amp;" | Нельзя: "&amp;N110</f>
        <v/>
      </c>
      <c r="O153" s="36">
        <f>"O ФОТО/РЕФЕРЕНС | Фон: "&amp;O86&amp;" | Персонаж: "&amp;O100&amp;" | Сборка: "&amp;O111&amp;" | Сохранить: "&amp;O67&amp;" | Изменить: "&amp;O68&amp;" | Нельзя: "&amp;O110</f>
        <v/>
      </c>
      <c r="P153" s="36">
        <f>"P ФОТО/РЕФЕРЕНС | Фон: "&amp;P86&amp;" | Персонаж: "&amp;P100&amp;" | Сборка: "&amp;P111&amp;" | Сохранить: "&amp;P67&amp;" | Изменить: "&amp;P68&amp;" | Нельзя: "&amp;P110</f>
        <v/>
      </c>
      <c r="Q153" s="36">
        <f>"Q ФОТО/РЕФЕРЕНС | Фон: "&amp;Q86&amp;" | Персонаж: "&amp;Q100&amp;" | Сборка: "&amp;Q111&amp;" | Сохранить: "&amp;Q67&amp;" | Изменить: "&amp;Q68&amp;" | Нельзя: "&amp;Q110</f>
        <v/>
      </c>
      <c r="R153" s="36">
        <f>"R ФОТО/РЕФЕРЕНС | Фон: "&amp;R86&amp;" | Персонаж: "&amp;R100&amp;" | Сборка: "&amp;R111&amp;" | Сохранить: "&amp;R67&amp;" | Изменить: "&amp;R68&amp;" | Нельзя: "&amp;R110</f>
        <v/>
      </c>
      <c r="S153" s="36">
        <f>"S ФОТО/РЕФЕРЕНС | Фон: "&amp;S86&amp;" | Персонаж: "&amp;S100&amp;" | Сборка: "&amp;S111&amp;" | Сохранить: "&amp;S67&amp;" | Изменить: "&amp;S68&amp;" | Нельзя: "&amp;S110</f>
        <v/>
      </c>
      <c r="T153" s="36">
        <f>"T ФОТО/РЕФЕРЕНС | Фон: "&amp;T86&amp;" | Персонаж: "&amp;T100&amp;" | Сборка: "&amp;T111&amp;" | Сохранить: "&amp;T67&amp;" | Изменить: "&amp;T68&amp;" | Нельзя: "&amp;T110</f>
        <v/>
      </c>
      <c r="U153" s="36">
        <f>"U ФОТО/РЕФЕРЕНС | Фон: "&amp;U86&amp;" | Персонаж: "&amp;U100&amp;" | Сборка: "&amp;U111&amp;" | Сохранить: "&amp;U67&amp;" | Изменить: "&amp;U68&amp;" | Нельзя: "&amp;U110</f>
        <v/>
      </c>
      <c r="V153" s="36">
        <f>"V ФОТО/РЕФЕРЕНС | Фон: "&amp;V86&amp;" | Персонаж: "&amp;V100&amp;" | Сборка: "&amp;V111&amp;" | Сохранить: "&amp;V67&amp;" | Изменить: "&amp;V68&amp;" | Нельзя: "&amp;V110</f>
        <v/>
      </c>
      <c r="W153" s="36">
        <f>"W ФОТО/РЕФЕРЕНС | Фон: "&amp;W86&amp;" | Персонаж: "&amp;W100&amp;" | Сборка: "&amp;W111&amp;" | Сохранить: "&amp;W67&amp;" | Изменить: "&amp;W68&amp;" | Нельзя: "&amp;W110</f>
        <v/>
      </c>
      <c r="X153" s="36">
        <f>"X ФОТО/РЕФЕРЕНС | Фон: "&amp;X86&amp;" | Персонаж: "&amp;X100&amp;" | Сборка: "&amp;X111&amp;" | Сохранить: "&amp;X67&amp;" | Изменить: "&amp;X68&amp;" | Нельзя: "&amp;X110</f>
        <v/>
      </c>
      <c r="Y153" s="36">
        <f>"Y ФОТО/РЕФЕРЕНС | Фон: "&amp;Y86&amp;" | Персонаж: "&amp;Y100&amp;" | Сборка: "&amp;Y111&amp;" | Сохранить: "&amp;Y67&amp;" | Изменить: "&amp;Y68&amp;" | Нельзя: "&amp;Y110</f>
        <v/>
      </c>
      <c r="Z153" s="36">
        <f>"Z ФОТО/РЕФЕРЕНС | Фон: "&amp;Z86&amp;" | Персонаж: "&amp;Z100&amp;" | Сборка: "&amp;Z111&amp;" | Сохранить: "&amp;Z67&amp;" | Изменить: "&amp;Z68&amp;" | Нельзя: "&amp;Z110</f>
        <v/>
      </c>
      <c r="AA153" s="36">
        <f>"AA ФОТО/РЕФЕРЕНС | Фон: "&amp;AA86&amp;" | Персонаж: "&amp;AA100&amp;" | Сборка: "&amp;AA111&amp;" | Сохранить: "&amp;AA67&amp;" | Изменить: "&amp;AA68&amp;" | Нельзя: "&amp;AA110</f>
        <v/>
      </c>
      <c r="AB153" s="36">
        <f>"AB ФОТО/РЕФЕРЕНС | Фон: "&amp;AB86&amp;" | Персонаж: "&amp;AB100&amp;" | Сборка: "&amp;AB111&amp;" | Сохранить: "&amp;AB67&amp;" | Изменить: "&amp;AB68&amp;" | Нельзя: "&amp;AB110</f>
        <v/>
      </c>
      <c r="AC153" s="36">
        <f>"AC ФОТО/РЕФЕРЕНС | Фон: "&amp;AC86&amp;" | Персонаж: "&amp;AC100&amp;" | Сборка: "&amp;AC111&amp;" | Сохранить: "&amp;AC67&amp;" | Изменить: "&amp;AC68&amp;" | Нельзя: "&amp;AC110</f>
        <v/>
      </c>
      <c r="AD153" s="36">
        <f>"AD ФОТО/РЕФЕРЕНС | Фон: "&amp;AD86&amp;" | Персонаж: "&amp;AD100&amp;" | Сборка: "&amp;AD111&amp;" | Сохранить: "&amp;AD67&amp;" | Изменить: "&amp;AD68&amp;" | Нельзя: "&amp;AD110</f>
        <v/>
      </c>
      <c r="AE153" s="36">
        <f>"AE ФОТО/РЕФЕРЕНС | Фон: "&amp;AE86&amp;" | Персонаж: "&amp;AE100&amp;" | Сборка: "&amp;AE111&amp;" | Сохранить: "&amp;AE67&amp;" | Изменить: "&amp;AE68&amp;" | Нельзя: "&amp;AE110</f>
        <v/>
      </c>
      <c r="AF153" s="36">
        <f>"AF ФОТО/РЕФЕРЕНС | Фон: "&amp;AF86&amp;" | Персонаж: "&amp;AF100&amp;" | Сборка: "&amp;AF111&amp;" | Сохранить: "&amp;AF67&amp;" | Изменить: "&amp;AF68&amp;" | Нельзя: "&amp;AF110</f>
        <v/>
      </c>
      <c r="AG153" s="36">
        <f>"AG ФОТО/РЕФЕРЕНС | Фон: "&amp;AG86&amp;" | Персонаж: "&amp;AG100&amp;" | Сборка: "&amp;AG111&amp;" | Сохранить: "&amp;AG67&amp;" | Изменить: "&amp;AG68&amp;" | Нельзя: "&amp;AG110</f>
        <v/>
      </c>
      <c r="AH153" s="36">
        <f>"AH ФОТО/РЕФЕРЕНС | Фон: "&amp;AH86&amp;" | Персонаж: "&amp;AH100&amp;" | Сборка: "&amp;AH111&amp;" | Сохранить: "&amp;AH67&amp;" | Изменить: "&amp;AH68&amp;" | Нельзя: "&amp;AH110</f>
        <v/>
      </c>
      <c r="AI153" s="36">
        <f>"AI ФОТО/РЕФЕРЕНС | Фон: "&amp;AI86&amp;" | Персонаж: "&amp;AI100&amp;" | Сборка: "&amp;AI111&amp;" | Сохранить: "&amp;AI67&amp;" | Изменить: "&amp;AI68&amp;" | Нельзя: "&amp;AI110</f>
        <v/>
      </c>
      <c r="AJ153" s="36">
        <f>"AJ ФОТО/РЕФЕРЕНС | Фон: "&amp;AJ86&amp;" | Персонаж: "&amp;AJ100&amp;" | Сборка: "&amp;AJ111&amp;" | Сохранить: "&amp;AJ67&amp;" | Изменить: "&amp;AJ68&amp;" | Нельзя: "&amp;AJ110</f>
        <v/>
      </c>
      <c r="AK153" s="36">
        <f>"AK ФОТО/РЕФЕРЕНС | Фон: "&amp;AK86&amp;" | Персонаж: "&amp;AK100&amp;" | Сборка: "&amp;AK111&amp;" | Сохранить: "&amp;AK67&amp;" | Изменить: "&amp;AK68&amp;" | Нельзя: "&amp;AK110</f>
        <v/>
      </c>
      <c r="AL153" s="36">
        <f>"AL ФОТО/РЕФЕРЕНС | Фон: "&amp;AL86&amp;" | Персонаж: "&amp;AL100&amp;" | Сборка: "&amp;AL111&amp;" | Сохранить: "&amp;AL67&amp;" | Изменить: "&amp;AL68&amp;" | Нельзя: "&amp;AL110</f>
        <v/>
      </c>
      <c r="AM153" s="36">
        <f>"AM ФОТО/РЕФЕРЕНС | Фон: "&amp;AM86&amp;" | Персонаж: "&amp;AM100&amp;" | Сборка: "&amp;AM111&amp;" | Сохранить: "&amp;AM67&amp;" | Изменить: "&amp;AM68&amp;" | Нельзя: "&amp;AM110</f>
        <v/>
      </c>
      <c r="AN153" s="36">
        <f>"AN ФОТО/РЕФЕРЕНС | Фон: "&amp;AN86&amp;" | Персонаж: "&amp;AN100&amp;" | Сборка: "&amp;AN111&amp;" | Сохранить: "&amp;AN67&amp;" | Изменить: "&amp;AN68&amp;" | Нельзя: "&amp;AN110</f>
        <v/>
      </c>
      <c r="AO153" s="36">
        <f>"AO ФОТО/РЕФЕРЕНС | Фон: "&amp;AO86&amp;" | Персонаж: "&amp;AO100&amp;" | Сборка: "&amp;AO111&amp;" | Сохранить: "&amp;AO67&amp;" | Изменить: "&amp;AO68&amp;" | Нельзя: "&amp;AO110</f>
        <v/>
      </c>
      <c r="AP153" s="36">
        <f>"AP ФОТО/РЕФЕРЕНС | Фон: "&amp;AP86&amp;" | Персонаж: "&amp;AP100&amp;" | Сборка: "&amp;AP111&amp;" | Сохранить: "&amp;AP67&amp;" | Изменить: "&amp;AP68&amp;" | Нельзя: "&amp;AP110</f>
        <v/>
      </c>
      <c r="AQ153" s="36">
        <f>"AQ ФОТО/РЕФЕРЕНС | Фон: "&amp;AQ86&amp;" | Персонаж: "&amp;AQ100&amp;" | Сборка: "&amp;AQ111&amp;" | Сохранить: "&amp;AQ67&amp;" | Изменить: "&amp;AQ68&amp;" | Нельзя: "&amp;AQ110</f>
        <v/>
      </c>
      <c r="AR153" s="36">
        <f>"AR ФОТО/РЕФЕРЕНС | Фон: "&amp;AR86&amp;" | Персонаж: "&amp;AR100&amp;" | Сборка: "&amp;AR111&amp;" | Сохранить: "&amp;AR67&amp;" | Изменить: "&amp;AR68&amp;" | Нельзя: "&amp;AR110</f>
        <v/>
      </c>
      <c r="AS153" s="36">
        <f>"AS ФОТО/РЕФЕРЕНС | Фон: "&amp;AS86&amp;" | Персонаж: "&amp;AS100&amp;" | Сборка: "&amp;AS111&amp;" | Сохранить: "&amp;AS67&amp;" | Изменить: "&amp;AS68&amp;" | Нельзя: "&amp;AS110</f>
        <v/>
      </c>
      <c r="AT153" s="36">
        <f>"AT ФОТО/РЕФЕРЕНС | Фон: "&amp;AT86&amp;" | Персонаж: "&amp;AT100&amp;" | Сборка: "&amp;AT111&amp;" | Сохранить: "&amp;AT67&amp;" | Изменить: "&amp;AT68&amp;" | Нельзя: "&amp;AT110</f>
        <v/>
      </c>
      <c r="AU153" s="36">
        <f>"AU ФОТО/РЕФЕРЕНС | Фон: "&amp;AU86&amp;" | Персонаж: "&amp;AU100&amp;" | Сборка: "&amp;AU111&amp;" | Сохранить: "&amp;AU67&amp;" | Изменить: "&amp;AU68&amp;" | Нельзя: "&amp;AU110</f>
        <v/>
      </c>
      <c r="AV153" s="36">
        <f>"AV ФОТО/РЕФЕРЕНС | Фон: "&amp;AV86&amp;" | Персонаж: "&amp;AV100&amp;" | Сборка: "&amp;AV111&amp;" | Сохранить: "&amp;AV67&amp;" | Изменить: "&amp;AV68&amp;" | Нельзя: "&amp;AV110</f>
        <v/>
      </c>
      <c r="AW153" s="36">
        <f>"AW ФОТО/РЕФЕРЕНС | Фон: "&amp;AW86&amp;" | Персонаж: "&amp;AW100&amp;" | Сборка: "&amp;AW111&amp;" | Сохранить: "&amp;AW67&amp;" | Изменить: "&amp;AW68&amp;" | Нельзя: "&amp;AW110</f>
        <v/>
      </c>
      <c r="AX153" s="36">
        <f>"AX ФОТО/РЕФЕРЕНС | Фон: "&amp;AX86&amp;" | Персонаж: "&amp;AX100&amp;" | Сборка: "&amp;AX111&amp;" | Сохранить: "&amp;AX67&amp;" | Изменить: "&amp;AX68&amp;" | Нельзя: "&amp;AX110</f>
        <v/>
      </c>
      <c r="AY153" s="36">
        <f>"AY ФОТО/РЕФЕРЕНС | Фон: "&amp;AY86&amp;" | Персонаж: "&amp;AY100&amp;" | Сборка: "&amp;AY111&amp;" | Сохранить: "&amp;AY67&amp;" | Изменить: "&amp;AY68&amp;" | Нельзя: "&amp;AY110</f>
        <v/>
      </c>
      <c r="AZ153" s="36">
        <f>"AZ ФОТО/РЕФЕРЕНС | Фон: "&amp;AZ86&amp;" | Персонаж: "&amp;AZ100&amp;" | Сборка: "&amp;AZ111&amp;" | Сохранить: "&amp;AZ67&amp;" | Изменить: "&amp;AZ68&amp;" | Нельзя: "&amp;AZ110</f>
        <v/>
      </c>
      <c r="BA153" s="36">
        <f>"BA ФОТО/РЕФЕРЕНС | Фон: "&amp;BA86&amp;" | Персонаж: "&amp;BA100&amp;" | Сборка: "&amp;BA111&amp;" | Сохранить: "&amp;BA67&amp;" | Изменить: "&amp;BA68&amp;" | Нельзя: "&amp;BA110</f>
        <v/>
      </c>
      <c r="BB153" s="36">
        <f>"BB ФОТО/РЕФЕРЕНС | Фон: "&amp;BB86&amp;" | Персонаж: "&amp;BB100&amp;" | Сборка: "&amp;BB111&amp;" | Сохранить: "&amp;BB67&amp;" | Изменить: "&amp;BB68&amp;" | Нельзя: "&amp;BB110</f>
        <v/>
      </c>
      <c r="BC153" s="36">
        <f>"BC ФОТО/РЕФЕРЕНС | Фон: "&amp;BC86&amp;" | Персонаж: "&amp;BC100&amp;" | Сборка: "&amp;BC111&amp;" | Сохранить: "&amp;BC67&amp;" | Изменить: "&amp;BC68&amp;" | Нельзя: "&amp;BC110</f>
        <v/>
      </c>
      <c r="BD153" s="36">
        <f>"BD ФОТО/РЕФЕРЕНС | Фон: "&amp;BD86&amp;" | Персонаж: "&amp;BD100&amp;" | Сборка: "&amp;BD111&amp;" | Сохранить: "&amp;BD67&amp;" | Изменить: "&amp;BD68&amp;" | Нельзя: "&amp;BD110</f>
        <v/>
      </c>
      <c r="BE153" s="36">
        <f>"BE ФОТО/РЕФЕРЕНС | Фон: "&amp;BE86&amp;" | Персонаж: "&amp;BE100&amp;" | Сборка: "&amp;BE111&amp;" | Сохранить: "&amp;BE67&amp;" | Изменить: "&amp;BE68&amp;" | Нельзя: "&amp;BE110</f>
        <v/>
      </c>
      <c r="BF153" s="36">
        <f>"BF ФОТО/РЕФЕРЕНС | Фон: "&amp;BF86&amp;" | Персонаж: "&amp;BF100&amp;" | Сборка: "&amp;BF111&amp;" | Сохранить: "&amp;BF67&amp;" | Изменить: "&amp;BF68&amp;" | Нельзя: "&amp;BF110</f>
        <v/>
      </c>
      <c r="BG153" s="36">
        <f>"BG ФОТО/РЕФЕРЕНС | Фон: "&amp;BG86&amp;" | Персонаж: "&amp;BG100&amp;" | Сборка: "&amp;BG111&amp;" | Сохранить: "&amp;BG67&amp;" | Изменить: "&amp;BG68&amp;" | Нельзя: "&amp;BG110</f>
        <v/>
      </c>
      <c r="BH153" s="36">
        <f>"BH ФОТО/РЕФЕРЕНС | Фон: "&amp;BH86&amp;" | Персонаж: "&amp;BH100&amp;" | Сборка: "&amp;BH111&amp;" | Сохранить: "&amp;BH67&amp;" | Изменить: "&amp;BH68&amp;" | Нельзя: "&amp;BH110</f>
        <v/>
      </c>
      <c r="BI153" s="36">
        <f>"BI ФОТО/РЕФЕРЕНС | Фон: "&amp;BI86&amp;" | Персонаж: "&amp;BI100&amp;" | Сборка: "&amp;BI111&amp;" | Сохранить: "&amp;BI67&amp;" | Изменить: "&amp;BI68&amp;" | Нельзя: "&amp;BI110</f>
        <v/>
      </c>
      <c r="BJ153" s="36">
        <f>"BJ ФОТО/РЕФЕРЕНС | Фон: "&amp;BJ86&amp;" | Персонаж: "&amp;BJ100&amp;" | Сборка: "&amp;BJ111&amp;" | Сохранить: "&amp;BJ67&amp;" | Изменить: "&amp;BJ68&amp;" | Нельзя: "&amp;BJ110</f>
        <v/>
      </c>
      <c r="BK153" s="36">
        <f>"BK ФОТО/РЕФЕРЕНС | Фон: "&amp;BK86&amp;" | Персонаж: "&amp;BK100&amp;" | Сборка: "&amp;BK111&amp;" | Сохранить: "&amp;BK67&amp;" | Изменить: "&amp;BK68&amp;" | Нельзя: "&amp;BK110</f>
        <v/>
      </c>
      <c r="BL153" s="36">
        <f>"BL ФОТО/РЕФЕРЕНС | Фон: "&amp;BL86&amp;" | Персонаж: "&amp;BL100&amp;" | Сборка: "&amp;BL111&amp;" | Сохранить: "&amp;BL67&amp;" | Изменить: "&amp;BL68&amp;" | Нельзя: "&amp;BL110</f>
        <v/>
      </c>
      <c r="BM153" s="36">
        <f>"BM ФОТО/РЕФЕРЕНС | Фон: "&amp;BM86&amp;" | Персонаж: "&amp;BM100&amp;" | Сборка: "&amp;BM111&amp;" | Сохранить: "&amp;BM67&amp;" | Изменить: "&amp;BM68&amp;" | Нельзя: "&amp;BM110</f>
        <v/>
      </c>
      <c r="BN153" s="36">
        <f>"BN ФОТО/РЕФЕРЕНС | Фон: "&amp;BN86&amp;" | Персонаж: "&amp;BN100&amp;" | Сборка: "&amp;BN111&amp;" | Сохранить: "&amp;BN67&amp;" | Изменить: "&amp;BN68&amp;" | Нельзя: "&amp;BN110</f>
        <v/>
      </c>
      <c r="BO153" s="36">
        <f>"BO ФОТО/РЕФЕРЕНС | Фон: "&amp;BO86&amp;" | Персонаж: "&amp;BO100&amp;" | Сборка: "&amp;BO111&amp;" | Сохранить: "&amp;BO67&amp;" | Изменить: "&amp;BO68&amp;" | Нельзя: "&amp;BO110</f>
        <v/>
      </c>
      <c r="BP153" s="36">
        <f>"BP ФОТО/РЕФЕРЕНС | Фон: "&amp;BP86&amp;" | Персонаж: "&amp;BP100&amp;" | Сборка: "&amp;BP111&amp;" | Сохранить: "&amp;BP67&amp;" | Изменить: "&amp;BP68&amp;" | Нельзя: "&amp;BP110</f>
        <v/>
      </c>
      <c r="BQ153" s="36">
        <f>"BQ ФОТО/РЕФЕРЕНС | Фон: "&amp;BQ86&amp;" | Персонаж: "&amp;BQ100&amp;" | Сборка: "&amp;BQ111&amp;" | Сохранить: "&amp;BQ67&amp;" | Изменить: "&amp;BQ68&amp;" | Нельзя: "&amp;BQ110</f>
        <v/>
      </c>
      <c r="BR153" s="36">
        <f>"BR ФОТО/РЕФЕРЕНС | Фон: "&amp;BR86&amp;" | Персонаж: "&amp;BR100&amp;" | Сборка: "&amp;BR111&amp;" | Сохранить: "&amp;BR67&amp;" | Изменить: "&amp;BR68&amp;" | Нельзя: "&amp;BR110</f>
        <v/>
      </c>
      <c r="BS153" s="36">
        <f>"BS ФОТО/РЕФЕРЕНС | Фон: "&amp;BS86&amp;" | Персонаж: "&amp;BS100&amp;" | Сборка: "&amp;BS111&amp;" | Сохранить: "&amp;BS67&amp;" | Изменить: "&amp;BS68&amp;" | Нельзя: "&amp;BS110</f>
        <v/>
      </c>
      <c r="BT153" s="36">
        <f>"BT ФОТО/РЕФЕРЕНС | Фон: "&amp;BT86&amp;" | Персонаж: "&amp;BT100&amp;" | Сборка: "&amp;BT111&amp;" | Сохранить: "&amp;BT67&amp;" | Изменить: "&amp;BT68&amp;" | Нельзя: "&amp;BT110</f>
        <v/>
      </c>
      <c r="BU153" s="36">
        <f>"BU ФОТО/РЕФЕРЕНС | Фон: "&amp;BU86&amp;" | Персонаж: "&amp;BU100&amp;" | Сборка: "&amp;BU111&amp;" | Сохранить: "&amp;BU67&amp;" | Изменить: "&amp;BU68&amp;" | Нельзя: "&amp;BU110</f>
        <v/>
      </c>
      <c r="BV153" s="36">
        <f>"BV ФОТО/РЕФЕРЕНС | Фон: "&amp;BV86&amp;" | Персонаж: "&amp;BV100&amp;" | Сборка: "&amp;BV111&amp;" | Сохранить: "&amp;BV67&amp;" | Изменить: "&amp;BV68&amp;" | Нельзя: "&amp;BV110</f>
        <v/>
      </c>
      <c r="BW153" s="36">
        <f>"BW ФОТО/РЕФЕРЕНС | Фон: "&amp;BW86&amp;" | Персонаж: "&amp;BW100&amp;" | Сборка: "&amp;BW111&amp;" | Сохранить: "&amp;BW67&amp;" | Изменить: "&amp;BW68&amp;" | Нельзя: "&amp;BW110</f>
        <v/>
      </c>
      <c r="BX153" s="36">
        <f>"BX ФОТО/РЕФЕРЕНС | Фон: "&amp;BX86&amp;" | Персонаж: "&amp;BX100&amp;" | Сборка: "&amp;BX111&amp;" | Сохранить: "&amp;BX67&amp;" | Изменить: "&amp;BX68&amp;" | Нельзя: "&amp;BX110</f>
        <v/>
      </c>
      <c r="BY153" s="36">
        <f>"BY ФОТО/РЕФЕРЕНС | Фон: "&amp;BY86&amp;" | Персонаж: "&amp;BY100&amp;" | Сборка: "&amp;BY111&amp;" | Сохранить: "&amp;BY67&amp;" | Изменить: "&amp;BY68&amp;" | Нельзя: "&amp;BY110</f>
        <v/>
      </c>
      <c r="BZ153" s="36">
        <f>"BZ ФОТО/РЕФЕРЕНС | Фон: "&amp;BZ86&amp;" | Персонаж: "&amp;BZ100&amp;" | Сборка: "&amp;BZ111&amp;" | Сохранить: "&amp;BZ67&amp;" | Изменить: "&amp;BZ68&amp;" | Нельзя: "&amp;BZ110</f>
        <v/>
      </c>
      <c r="CA153" s="36">
        <f>"CA ФОТО/РЕФЕРЕНС | Фон: "&amp;CA86&amp;" | Персонаж: "&amp;CA100&amp;" | Сборка: "&amp;CA111&amp;" | Сохранить: "&amp;CA67&amp;" | Изменить: "&amp;CA68&amp;" | Нельзя: "&amp;CA110</f>
        <v/>
      </c>
      <c r="CB153" s="36">
        <f>"CB ФОТО/РЕФЕРЕНС | Фон: "&amp;CB86&amp;" | Персонаж: "&amp;CB100&amp;" | Сборка: "&amp;CB111&amp;" | Сохранить: "&amp;CB67&amp;" | Изменить: "&amp;CB68&amp;" | Нельзя: "&amp;CB110</f>
        <v/>
      </c>
      <c r="CC153" s="36">
        <f>"CC ФОТО/РЕФЕРЕНС | Фон: "&amp;CC86&amp;" | Персонаж: "&amp;CC100&amp;" | Сборка: "&amp;CC111&amp;" | Сохранить: "&amp;CC67&amp;" | Изменить: "&amp;CC68&amp;" | Нельзя: "&amp;CC110</f>
        <v/>
      </c>
      <c r="CD153" s="36">
        <f>"CD ФОТО/РЕФЕРЕНС | Фон: "&amp;CD86&amp;" | Персонаж: "&amp;CD100&amp;" | Сборка: "&amp;CD111&amp;" | Сохранить: "&amp;CD67&amp;" | Изменить: "&amp;CD68&amp;" | Нельзя: "&amp;CD110</f>
        <v/>
      </c>
      <c r="CE153" s="36">
        <f>"CE ФОТО/РЕФЕРЕНС | Фон: "&amp;CE86&amp;" | Персонаж: "&amp;CE100&amp;" | Сборка: "&amp;CE111&amp;" | Сохранить: "&amp;CE67&amp;" | Изменить: "&amp;CE68&amp;" | Нельзя: "&amp;CE110</f>
        <v/>
      </c>
      <c r="CF153" s="36">
        <f>"CF ФОТО/РЕФЕРЕНС | Фон: "&amp;CF86&amp;" | Персонаж: "&amp;CF100&amp;" | Сборка: "&amp;CF111&amp;" | Сохранить: "&amp;CF67&amp;" | Изменить: "&amp;CF68&amp;" | Нельзя: "&amp;CF110</f>
        <v/>
      </c>
      <c r="CG153" s="36">
        <f>"CG ФОТО/РЕФЕРЕНС | Фон: "&amp;CG86&amp;" | Персонаж: "&amp;CG100&amp;" | Сборка: "&amp;CG111&amp;" | Сохранить: "&amp;CG67&amp;" | Изменить: "&amp;CG68&amp;" | Нельзя: "&amp;CG110</f>
        <v/>
      </c>
      <c r="CH153" s="36">
        <f>"CH ФОТО/РЕФЕРЕНС | Фон: "&amp;CH86&amp;" | Персонаж: "&amp;CH100&amp;" | Сборка: "&amp;CH111&amp;" | Сохранить: "&amp;CH67&amp;" | Изменить: "&amp;CH68&amp;" | Нельзя: "&amp;CH110</f>
        <v/>
      </c>
      <c r="CI153" s="36">
        <f>"CI ФОТО/РЕФЕРЕНС | Фон: "&amp;CI86&amp;" | Персонаж: "&amp;CI100&amp;" | Сборка: "&amp;CI111&amp;" | Сохранить: "&amp;CI67&amp;" | Изменить: "&amp;CI68&amp;" | Нельзя: "&amp;CI110</f>
        <v/>
      </c>
      <c r="CJ153" s="36">
        <f>"CJ ФОТО/РЕФЕРЕНС | Фон: "&amp;CJ86&amp;" | Персонаж: "&amp;CJ100&amp;" | Сборка: "&amp;CJ111&amp;" | Сохранить: "&amp;CJ67&amp;" | Изменить: "&amp;CJ68&amp;" | Нельзя: "&amp;CJ110</f>
        <v/>
      </c>
      <c r="CK153" s="36">
        <f>"CK ФОТО/РЕФЕРЕНС | Фон: "&amp;CK86&amp;" | Персонаж: "&amp;CK100&amp;" | Сборка: "&amp;CK111&amp;" | Сохранить: "&amp;CK67&amp;" | Изменить: "&amp;CK68&amp;" | Нельзя: "&amp;CK110</f>
        <v/>
      </c>
      <c r="CL153" s="36">
        <f>"CL ФОТО/РЕФЕРЕНС | Фон: "&amp;CL86&amp;" | Персонаж: "&amp;CL100&amp;" | Сборка: "&amp;CL111&amp;" | Сохранить: "&amp;CL67&amp;" | Изменить: "&amp;CL68&amp;" | Нельзя: "&amp;CL110</f>
        <v/>
      </c>
      <c r="CM153" s="36">
        <f>"CM ФОТО/РЕФЕРЕНС | Фон: "&amp;CM86&amp;" | Персонаж: "&amp;CM100&amp;" | Сборка: "&amp;CM111&amp;" | Сохранить: "&amp;CM67&amp;" | Изменить: "&amp;CM68&amp;" | Нельзя: "&amp;CM110</f>
        <v/>
      </c>
      <c r="CN153" s="2" t="n"/>
      <c r="CO153" s="2" t="n"/>
      <c r="CP153" s="2" t="n"/>
      <c r="CQ153" s="2" t="n"/>
      <c r="CR153" s="2" t="n"/>
      <c r="CS153" s="2" t="n"/>
      <c r="CT153" s="2" t="n"/>
      <c r="CU153" s="2" t="n"/>
      <c r="CV153" s="2" t="n"/>
      <c r="CW153" s="2" t="n"/>
      <c r="CX153" s="2" t="n"/>
      <c r="CY153" s="2" t="n"/>
      <c r="CZ153" s="2" t="n"/>
      <c r="DA153" s="2" t="n"/>
      <c r="DB153" s="2" t="n"/>
      <c r="DC153" s="2" t="n"/>
      <c r="DD153" s="2" t="n"/>
      <c r="DE153" s="2" t="n"/>
      <c r="DF153" s="2" t="n"/>
      <c r="DG153" s="2" t="n"/>
      <c r="DH153" s="2" t="n"/>
    </row>
    <row r="154" ht="69.95" customFormat="1" customHeight="1" s="76">
      <c r="A154" s="34" t="n"/>
      <c r="B154" s="34" t="n"/>
      <c r="C154" s="45" t="n"/>
      <c r="D154" s="36">
        <f>"D ВИДЕО | Задача: "&amp;D114&amp;" | Действие: "&amp;D118&amp;" | Камера: "&amp;D126&amp;" | Анимация: "&amp;D133&amp;" | Тайминг: "&amp;D137&amp;" | Переход: "&amp;D120&amp;" -&gt; "&amp;D121&amp;" | Сохранить: "&amp;D138&amp;" | Нельзя: "&amp;D139</f>
        <v/>
      </c>
      <c r="E154" s="36">
        <f>"E ВИДЕО | Задача: "&amp;E114&amp;" | Действие: "&amp;E118&amp;" | Камера: "&amp;E126&amp;" | Анимация: "&amp;E133&amp;" | Тайминг: "&amp;E137&amp;" | Переход: "&amp;E120&amp;" -&gt; "&amp;E121&amp;" | Сохранить: "&amp;E138&amp;" | Нельзя: "&amp;E139</f>
        <v/>
      </c>
      <c r="F154" s="36">
        <f>"F ВИДЕО | Задача: "&amp;F114&amp;" | Действие: "&amp;F118&amp;" | Камера: "&amp;F126&amp;" | Анимация: "&amp;F133&amp;" | Тайминг: "&amp;F137&amp;" | Переход: "&amp;F120&amp;" -&gt; "&amp;F121&amp;" | Сохранить: "&amp;F138&amp;" | Нельзя: "&amp;F139</f>
        <v/>
      </c>
      <c r="G154" s="36">
        <f>"G ВИДЕО | Задача: "&amp;G114&amp;" | Действие: "&amp;G118&amp;" | Камера: "&amp;G126&amp;" | Анимация: "&amp;G133&amp;" | Тайминг: "&amp;G137&amp;" | Переход: "&amp;G120&amp;" -&gt; "&amp;G121&amp;" | Сохранить: "&amp;G138&amp;" | Нельзя: "&amp;G139</f>
        <v/>
      </c>
      <c r="H154" s="36">
        <f>"H ВИДЕО | Задача: "&amp;H114&amp;" | Действие: "&amp;H118&amp;" | Камера: "&amp;H126&amp;" | Анимация: "&amp;H133&amp;" | Тайминг: "&amp;H137&amp;" | Переход: "&amp;H120&amp;" -&gt; "&amp;H121&amp;" | Сохранить: "&amp;H138&amp;" | Нельзя: "&amp;H139</f>
        <v/>
      </c>
      <c r="I154" s="36">
        <f>"I ВИДЕО | Задача: "&amp;I114&amp;" | Действие: "&amp;I118&amp;" | Камера: "&amp;I126&amp;" | Анимация: "&amp;I133&amp;" | Тайминг: "&amp;I137&amp;" | Переход: "&amp;I120&amp;" -&gt; "&amp;I121&amp;" | Сохранить: "&amp;I138&amp;" | Нельзя: "&amp;I139</f>
        <v/>
      </c>
      <c r="J154" s="36">
        <f>"J ВИДЕО | Задача: "&amp;J114&amp;" | Действие: "&amp;J118&amp;" | Камера: "&amp;J126&amp;" | Анимация: "&amp;J133&amp;" | Тайминг: "&amp;J137&amp;" | Переход: "&amp;J120&amp;" -&gt; "&amp;J121&amp;" | Сохранить: "&amp;J138&amp;" | Нельзя: "&amp;J139</f>
        <v/>
      </c>
      <c r="K154" s="36">
        <f>"K ВИДЕО | Задача: "&amp;K114&amp;" | Действие: "&amp;K118&amp;" | Камера: "&amp;K126&amp;" | Анимация: "&amp;K133&amp;" | Тайминг: "&amp;K137&amp;" | Переход: "&amp;K120&amp;" -&gt; "&amp;K121&amp;" | Сохранить: "&amp;K138&amp;" | Нельзя: "&amp;K139</f>
        <v/>
      </c>
      <c r="L154" s="36">
        <f>"L ВИДЕО | Задача: "&amp;L114&amp;" | Действие: "&amp;L118&amp;" | Камера: "&amp;L126&amp;" | Анимация: "&amp;L133&amp;" | Тайминг: "&amp;L137&amp;" | Переход: "&amp;L120&amp;" -&gt; "&amp;L121&amp;" | Сохранить: "&amp;L138&amp;" | Нельзя: "&amp;L139</f>
        <v/>
      </c>
      <c r="M154" s="36">
        <f>"M ВИДЕО | Задача: "&amp;M114&amp;" | Действие: "&amp;M118&amp;" | Камера: "&amp;M126&amp;" | Анимация: "&amp;M133&amp;" | Тайминг: "&amp;M137&amp;" | Переход: "&amp;M120&amp;" -&gt; "&amp;M121&amp;" | Сохранить: "&amp;M138&amp;" | Нельзя: "&amp;M139</f>
        <v/>
      </c>
      <c r="N154" s="36">
        <f>"N ВИДЕО | Задача: "&amp;N114&amp;" | Действие: "&amp;N118&amp;" | Камера: "&amp;N126&amp;" | Анимация: "&amp;N133&amp;" | Тайминг: "&amp;N137&amp;" | Переход: "&amp;N120&amp;" -&gt; "&amp;N121&amp;" | Сохранить: "&amp;N138&amp;" | Нельзя: "&amp;N139</f>
        <v/>
      </c>
      <c r="O154" s="36">
        <f>"O ВИДЕО | Задача: "&amp;O114&amp;" | Действие: "&amp;O118&amp;" | Камера: "&amp;O126&amp;" | Анимация: "&amp;O133&amp;" | Тайминг: "&amp;O137&amp;" | Переход: "&amp;O120&amp;" -&gt; "&amp;O121&amp;" | Сохранить: "&amp;O138&amp;" | Нельзя: "&amp;O139</f>
        <v/>
      </c>
      <c r="P154" s="36">
        <f>"P ВИДЕО | Задача: "&amp;P114&amp;" | Действие: "&amp;P118&amp;" | Камера: "&amp;P126&amp;" | Анимация: "&amp;P133&amp;" | Тайминг: "&amp;P137&amp;" | Переход: "&amp;P120&amp;" -&gt; "&amp;P121&amp;" | Сохранить: "&amp;P138&amp;" | Нельзя: "&amp;P139</f>
        <v/>
      </c>
      <c r="Q154" s="36">
        <f>"Q ВИДЕО | Задача: "&amp;Q114&amp;" | Действие: "&amp;Q118&amp;" | Камера: "&amp;Q126&amp;" | Анимация: "&amp;Q133&amp;" | Тайминг: "&amp;Q137&amp;" | Переход: "&amp;Q120&amp;" -&gt; "&amp;Q121&amp;" | Сохранить: "&amp;Q138&amp;" | Нельзя: "&amp;Q139</f>
        <v/>
      </c>
      <c r="R154" s="36">
        <f>"R ВИДЕО | Задача: "&amp;R114&amp;" | Действие: "&amp;R118&amp;" | Камера: "&amp;R126&amp;" | Анимация: "&amp;R133&amp;" | Тайминг: "&amp;R137&amp;" | Переход: "&amp;R120&amp;" -&gt; "&amp;R121&amp;" | Сохранить: "&amp;R138&amp;" | Нельзя: "&amp;R139</f>
        <v/>
      </c>
      <c r="S154" s="36">
        <f>"S ВИДЕО | Задача: "&amp;S114&amp;" | Действие: "&amp;S118&amp;" | Камера: "&amp;S126&amp;" | Анимация: "&amp;S133&amp;" | Тайминг: "&amp;S137&amp;" | Переход: "&amp;S120&amp;" -&gt; "&amp;S121&amp;" | Сохранить: "&amp;S138&amp;" | Нельзя: "&amp;S139</f>
        <v/>
      </c>
      <c r="T154" s="36">
        <f>"T ВИДЕО | Задача: "&amp;T114&amp;" | Действие: "&amp;T118&amp;" | Камера: "&amp;T126&amp;" | Анимация: "&amp;T133&amp;" | Тайминг: "&amp;T137&amp;" | Переход: "&amp;T120&amp;" -&gt; "&amp;T121&amp;" | Сохранить: "&amp;T138&amp;" | Нельзя: "&amp;T139</f>
        <v/>
      </c>
      <c r="U154" s="36">
        <f>"U ВИДЕО | Задача: "&amp;U114&amp;" | Действие: "&amp;U118&amp;" | Камера: "&amp;U126&amp;" | Анимация: "&amp;U133&amp;" | Тайминг: "&amp;U137&amp;" | Переход: "&amp;U120&amp;" -&gt; "&amp;U121&amp;" | Сохранить: "&amp;U138&amp;" | Нельзя: "&amp;U139</f>
        <v/>
      </c>
      <c r="V154" s="36">
        <f>"V ВИДЕО | Задача: "&amp;V114&amp;" | Действие: "&amp;V118&amp;" | Камера: "&amp;V126&amp;" | Анимация: "&amp;V133&amp;" | Тайминг: "&amp;V137&amp;" | Переход: "&amp;V120&amp;" -&gt; "&amp;V121&amp;" | Сохранить: "&amp;V138&amp;" | Нельзя: "&amp;V139</f>
        <v/>
      </c>
      <c r="W154" s="36">
        <f>"W ВИДЕО | Задача: "&amp;W114&amp;" | Действие: "&amp;W118&amp;" | Камера: "&amp;W126&amp;" | Анимация: "&amp;W133&amp;" | Тайминг: "&amp;W137&amp;" | Переход: "&amp;W120&amp;" -&gt; "&amp;W121&amp;" | Сохранить: "&amp;W138&amp;" | Нельзя: "&amp;W139</f>
        <v/>
      </c>
      <c r="X154" s="36">
        <f>"X ВИДЕО | Задача: "&amp;X114&amp;" | Действие: "&amp;X118&amp;" | Камера: "&amp;X126&amp;" | Анимация: "&amp;X133&amp;" | Тайминг: "&amp;X137&amp;" | Переход: "&amp;X120&amp;" -&gt; "&amp;X121&amp;" | Сохранить: "&amp;X138&amp;" | Нельзя: "&amp;X139</f>
        <v/>
      </c>
      <c r="Y154" s="36">
        <f>"Y ВИДЕО | Задача: "&amp;Y114&amp;" | Действие: "&amp;Y118&amp;" | Камера: "&amp;Y126&amp;" | Анимация: "&amp;Y133&amp;" | Тайминг: "&amp;Y137&amp;" | Переход: "&amp;Y120&amp;" -&gt; "&amp;Y121&amp;" | Сохранить: "&amp;Y138&amp;" | Нельзя: "&amp;Y139</f>
        <v/>
      </c>
      <c r="Z154" s="36">
        <f>"Z ВИДЕО | Задача: "&amp;Z114&amp;" | Действие: "&amp;Z118&amp;" | Камера: "&amp;Z126&amp;" | Анимация: "&amp;Z133&amp;" | Тайминг: "&amp;Z137&amp;" | Переход: "&amp;Z120&amp;" -&gt; "&amp;Z121&amp;" | Сохранить: "&amp;Z138&amp;" | Нельзя: "&amp;Z139</f>
        <v/>
      </c>
      <c r="AA154" s="36">
        <f>"AA ВИДЕО | Задача: "&amp;AA114&amp;" | Действие: "&amp;AA118&amp;" | Камера: "&amp;AA126&amp;" | Анимация: "&amp;AA133&amp;" | Тайминг: "&amp;AA137&amp;" | Переход: "&amp;AA120&amp;" -&gt; "&amp;AA121&amp;" | Сохранить: "&amp;AA138&amp;" | Нельзя: "&amp;AA139</f>
        <v/>
      </c>
      <c r="AB154" s="36">
        <f>"AB ВИДЕО | Задача: "&amp;AB114&amp;" | Действие: "&amp;AB118&amp;" | Камера: "&amp;AB126&amp;" | Анимация: "&amp;AB133&amp;" | Тайминг: "&amp;AB137&amp;" | Переход: "&amp;AB120&amp;" -&gt; "&amp;AB121&amp;" | Сохранить: "&amp;AB138&amp;" | Нельзя: "&amp;AB139</f>
        <v/>
      </c>
      <c r="AC154" s="36">
        <f>"AC ВИДЕО | Задача: "&amp;AC114&amp;" | Действие: "&amp;AC118&amp;" | Камера: "&amp;AC126&amp;" | Анимация: "&amp;AC133&amp;" | Тайминг: "&amp;AC137&amp;" | Переход: "&amp;AC120&amp;" -&gt; "&amp;AC121&amp;" | Сохранить: "&amp;AC138&amp;" | Нельзя: "&amp;AC139</f>
        <v/>
      </c>
      <c r="AD154" s="36">
        <f>"AD ВИДЕО | Задача: "&amp;AD114&amp;" | Действие: "&amp;AD118&amp;" | Камера: "&amp;AD126&amp;" | Анимация: "&amp;AD133&amp;" | Тайминг: "&amp;AD137&amp;" | Переход: "&amp;AD120&amp;" -&gt; "&amp;AD121&amp;" | Сохранить: "&amp;AD138&amp;" | Нельзя: "&amp;AD139</f>
        <v/>
      </c>
      <c r="AE154" s="36">
        <f>"AE ВИДЕО | Задача: "&amp;AE114&amp;" | Действие: "&amp;AE118&amp;" | Камера: "&amp;AE126&amp;" | Анимация: "&amp;AE133&amp;" | Тайминг: "&amp;AE137&amp;" | Переход: "&amp;AE120&amp;" -&gt; "&amp;AE121&amp;" | Сохранить: "&amp;AE138&amp;" | Нельзя: "&amp;AE139</f>
        <v/>
      </c>
      <c r="AF154" s="36">
        <f>"AF ВИДЕО | Задача: "&amp;AF114&amp;" | Действие: "&amp;AF118&amp;" | Камера: "&amp;AF126&amp;" | Анимация: "&amp;AF133&amp;" | Тайминг: "&amp;AF137&amp;" | Переход: "&amp;AF120&amp;" -&gt; "&amp;AF121&amp;" | Сохранить: "&amp;AF138&amp;" | Нельзя: "&amp;AF139</f>
        <v/>
      </c>
      <c r="AG154" s="36">
        <f>"AG ВИДЕО | Задача: "&amp;AG114&amp;" | Действие: "&amp;AG118&amp;" | Камера: "&amp;AG126&amp;" | Анимация: "&amp;AG133&amp;" | Тайминг: "&amp;AG137&amp;" | Переход: "&amp;AG120&amp;" -&gt; "&amp;AG121&amp;" | Сохранить: "&amp;AG138&amp;" | Нельзя: "&amp;AG139</f>
        <v/>
      </c>
      <c r="AH154" s="36">
        <f>"AH ВИДЕО | Задача: "&amp;AH114&amp;" | Действие: "&amp;AH118&amp;" | Камера: "&amp;AH126&amp;" | Анимация: "&amp;AH133&amp;" | Тайминг: "&amp;AH137&amp;" | Переход: "&amp;AH120&amp;" -&gt; "&amp;AH121&amp;" | Сохранить: "&amp;AH138&amp;" | Нельзя: "&amp;AH139</f>
        <v/>
      </c>
      <c r="AI154" s="36">
        <f>"AI ВИДЕО | Задача: "&amp;AI114&amp;" | Действие: "&amp;AI118&amp;" | Камера: "&amp;AI126&amp;" | Анимация: "&amp;AI133&amp;" | Тайминг: "&amp;AI137&amp;" | Переход: "&amp;AI120&amp;" -&gt; "&amp;AI121&amp;" | Сохранить: "&amp;AI138&amp;" | Нельзя: "&amp;AI139</f>
        <v/>
      </c>
      <c r="AJ154" s="36">
        <f>"AJ ВИДЕО | Задача: "&amp;AJ114&amp;" | Действие: "&amp;AJ118&amp;" | Камера: "&amp;AJ126&amp;" | Анимация: "&amp;AJ133&amp;" | Тайминг: "&amp;AJ137&amp;" | Переход: "&amp;AJ120&amp;" -&gt; "&amp;AJ121&amp;" | Сохранить: "&amp;AJ138&amp;" | Нельзя: "&amp;AJ139</f>
        <v/>
      </c>
      <c r="AK154" s="36">
        <f>"AK ВИДЕО | Задача: "&amp;AK114&amp;" | Действие: "&amp;AK118&amp;" | Камера: "&amp;AK126&amp;" | Анимация: "&amp;AK133&amp;" | Тайминг: "&amp;AK137&amp;" | Переход: "&amp;AK120&amp;" -&gt; "&amp;AK121&amp;" | Сохранить: "&amp;AK138&amp;" | Нельзя: "&amp;AK139</f>
        <v/>
      </c>
      <c r="AL154" s="36">
        <f>"AL ВИДЕО | Задача: "&amp;AL114&amp;" | Действие: "&amp;AL118&amp;" | Камера: "&amp;AL126&amp;" | Анимация: "&amp;AL133&amp;" | Тайминг: "&amp;AL137&amp;" | Переход: "&amp;AL120&amp;" -&gt; "&amp;AL121&amp;" | Сохранить: "&amp;AL138&amp;" | Нельзя: "&amp;AL139</f>
        <v/>
      </c>
      <c r="AM154" s="36">
        <f>"AM ВИДЕО | Задача: "&amp;AM114&amp;" | Действие: "&amp;AM118&amp;" | Камера: "&amp;AM126&amp;" | Анимация: "&amp;AM133&amp;" | Тайминг: "&amp;AM137&amp;" | Переход: "&amp;AM120&amp;" -&gt; "&amp;AM121&amp;" | Сохранить: "&amp;AM138&amp;" | Нельзя: "&amp;AM139</f>
        <v/>
      </c>
      <c r="AN154" s="36">
        <f>"AN ВИДЕО | Задача: "&amp;AN114&amp;" | Действие: "&amp;AN118&amp;" | Камера: "&amp;AN126&amp;" | Анимация: "&amp;AN133&amp;" | Тайминг: "&amp;AN137&amp;" | Переход: "&amp;AN120&amp;" -&gt; "&amp;AN121&amp;" | Сохранить: "&amp;AN138&amp;" | Нельзя: "&amp;AN139</f>
        <v/>
      </c>
      <c r="AO154" s="36">
        <f>"AO ВИДЕО | Задача: "&amp;AO114&amp;" | Действие: "&amp;AO118&amp;" | Камера: "&amp;AO126&amp;" | Анимация: "&amp;AO133&amp;" | Тайминг: "&amp;AO137&amp;" | Переход: "&amp;AO120&amp;" -&gt; "&amp;AO121&amp;" | Сохранить: "&amp;AO138&amp;" | Нельзя: "&amp;AO139</f>
        <v/>
      </c>
      <c r="AP154" s="36">
        <f>"AP ВИДЕО | Задача: "&amp;AP114&amp;" | Действие: "&amp;AP118&amp;" | Камера: "&amp;AP126&amp;" | Анимация: "&amp;AP133&amp;" | Тайминг: "&amp;AP137&amp;" | Переход: "&amp;AP120&amp;" -&gt; "&amp;AP121&amp;" | Сохранить: "&amp;AP138&amp;" | Нельзя: "&amp;AP139</f>
        <v/>
      </c>
      <c r="AQ154" s="36">
        <f>"AQ ВИДЕО | Задача: "&amp;AQ114&amp;" | Действие: "&amp;AQ118&amp;" | Камера: "&amp;AQ126&amp;" | Анимация: "&amp;AQ133&amp;" | Тайминг: "&amp;AQ137&amp;" | Переход: "&amp;AQ120&amp;" -&gt; "&amp;AQ121&amp;" | Сохранить: "&amp;AQ138&amp;" | Нельзя: "&amp;AQ139</f>
        <v/>
      </c>
      <c r="AR154" s="36">
        <f>"AR ВИДЕО | Задача: "&amp;AR114&amp;" | Действие: "&amp;AR118&amp;" | Камера: "&amp;AR126&amp;" | Анимация: "&amp;AR133&amp;" | Тайминг: "&amp;AR137&amp;" | Переход: "&amp;AR120&amp;" -&gt; "&amp;AR121&amp;" | Сохранить: "&amp;AR138&amp;" | Нельзя: "&amp;AR139</f>
        <v/>
      </c>
      <c r="AS154" s="36">
        <f>"AS ВИДЕО | Задача: "&amp;AS114&amp;" | Действие: "&amp;AS118&amp;" | Камера: "&amp;AS126&amp;" | Анимация: "&amp;AS133&amp;" | Тайминг: "&amp;AS137&amp;" | Переход: "&amp;AS120&amp;" -&gt; "&amp;AS121&amp;" | Сохранить: "&amp;AS138&amp;" | Нельзя: "&amp;AS139</f>
        <v/>
      </c>
      <c r="AT154" s="36">
        <f>"AT ВИДЕО | Задача: "&amp;AT114&amp;" | Действие: "&amp;AT118&amp;" | Камера: "&amp;AT126&amp;" | Анимация: "&amp;AT133&amp;" | Тайминг: "&amp;AT137&amp;" | Переход: "&amp;AT120&amp;" -&gt; "&amp;AT121&amp;" | Сохранить: "&amp;AT138&amp;" | Нельзя: "&amp;AT139</f>
        <v/>
      </c>
      <c r="AU154" s="36">
        <f>"AU ВИДЕО | Задача: "&amp;AU114&amp;" | Действие: "&amp;AU118&amp;" | Камера: "&amp;AU126&amp;" | Анимация: "&amp;AU133&amp;" | Тайминг: "&amp;AU137&amp;" | Переход: "&amp;AU120&amp;" -&gt; "&amp;AU121&amp;" | Сохранить: "&amp;AU138&amp;" | Нельзя: "&amp;AU139</f>
        <v/>
      </c>
      <c r="AV154" s="36">
        <f>"AV ВИДЕО | Задача: "&amp;AV114&amp;" | Действие: "&amp;AV118&amp;" | Камера: "&amp;AV126&amp;" | Анимация: "&amp;AV133&amp;" | Тайминг: "&amp;AV137&amp;" | Переход: "&amp;AV120&amp;" -&gt; "&amp;AV121&amp;" | Сохранить: "&amp;AV138&amp;" | Нельзя: "&amp;AV139</f>
        <v/>
      </c>
      <c r="AW154" s="36">
        <f>"AW ВИДЕО | Задача: "&amp;AW114&amp;" | Действие: "&amp;AW118&amp;" | Камера: "&amp;AW126&amp;" | Анимация: "&amp;AW133&amp;" | Тайминг: "&amp;AW137&amp;" | Переход: "&amp;AW120&amp;" -&gt; "&amp;AW121&amp;" | Сохранить: "&amp;AW138&amp;" | Нельзя: "&amp;AW139</f>
        <v/>
      </c>
      <c r="AX154" s="36">
        <f>"AX ВИДЕО | Задача: "&amp;AX114&amp;" | Действие: "&amp;AX118&amp;" | Камера: "&amp;AX126&amp;" | Анимация: "&amp;AX133&amp;" | Тайминг: "&amp;AX137&amp;" | Переход: "&amp;AX120&amp;" -&gt; "&amp;AX121&amp;" | Сохранить: "&amp;AX138&amp;" | Нельзя: "&amp;AX139</f>
        <v/>
      </c>
      <c r="AY154" s="36">
        <f>"AY ВИДЕО | Задача: "&amp;AY114&amp;" | Действие: "&amp;AY118&amp;" | Камера: "&amp;AY126&amp;" | Анимация: "&amp;AY133&amp;" | Тайминг: "&amp;AY137&amp;" | Переход: "&amp;AY120&amp;" -&gt; "&amp;AY121&amp;" | Сохранить: "&amp;AY138&amp;" | Нельзя: "&amp;AY139</f>
        <v/>
      </c>
      <c r="AZ154" s="36">
        <f>"AZ ВИДЕО | Задача: "&amp;AZ114&amp;" | Действие: "&amp;AZ118&amp;" | Камера: "&amp;AZ126&amp;" | Анимация: "&amp;AZ133&amp;" | Тайминг: "&amp;AZ137&amp;" | Переход: "&amp;AZ120&amp;" -&gt; "&amp;AZ121&amp;" | Сохранить: "&amp;AZ138&amp;" | Нельзя: "&amp;AZ139</f>
        <v/>
      </c>
      <c r="BA154" s="36">
        <f>"BA ВИДЕО | Задача: "&amp;BA114&amp;" | Действие: "&amp;BA118&amp;" | Камера: "&amp;BA126&amp;" | Анимация: "&amp;BA133&amp;" | Тайминг: "&amp;BA137&amp;" | Переход: "&amp;BA120&amp;" -&gt; "&amp;BA121&amp;" | Сохранить: "&amp;BA138&amp;" | Нельзя: "&amp;BA139</f>
        <v/>
      </c>
      <c r="BB154" s="36">
        <f>"BB ВИДЕО | Задача: "&amp;BB114&amp;" | Действие: "&amp;BB118&amp;" | Камера: "&amp;BB126&amp;" | Анимация: "&amp;BB133&amp;" | Тайминг: "&amp;BB137&amp;" | Переход: "&amp;BB120&amp;" -&gt; "&amp;BB121&amp;" | Сохранить: "&amp;BB138&amp;" | Нельзя: "&amp;BB139</f>
        <v/>
      </c>
      <c r="BC154" s="36">
        <f>"BC ВИДЕО | Задача: "&amp;BC114&amp;" | Действие: "&amp;BC118&amp;" | Камера: "&amp;BC126&amp;" | Анимация: "&amp;BC133&amp;" | Тайминг: "&amp;BC137&amp;" | Переход: "&amp;BC120&amp;" -&gt; "&amp;BC121&amp;" | Сохранить: "&amp;BC138&amp;" | Нельзя: "&amp;BC139</f>
        <v/>
      </c>
      <c r="BD154" s="36">
        <f>"BD ВИДЕО | Задача: "&amp;BD114&amp;" | Действие: "&amp;BD118&amp;" | Камера: "&amp;BD126&amp;" | Анимация: "&amp;BD133&amp;" | Тайминг: "&amp;BD137&amp;" | Переход: "&amp;BD120&amp;" -&gt; "&amp;BD121&amp;" | Сохранить: "&amp;BD138&amp;" | Нельзя: "&amp;BD139</f>
        <v/>
      </c>
      <c r="BE154" s="36">
        <f>"BE ВИДЕО | Задача: "&amp;BE114&amp;" | Действие: "&amp;BE118&amp;" | Камера: "&amp;BE126&amp;" | Анимация: "&amp;BE133&amp;" | Тайминг: "&amp;BE137&amp;" | Переход: "&amp;BE120&amp;" -&gt; "&amp;BE121&amp;" | Сохранить: "&amp;BE138&amp;" | Нельзя: "&amp;BE139</f>
        <v/>
      </c>
      <c r="BF154" s="36">
        <f>"BF ВИДЕО | Задача: "&amp;BF114&amp;" | Действие: "&amp;BF118&amp;" | Камера: "&amp;BF126&amp;" | Анимация: "&amp;BF133&amp;" | Тайминг: "&amp;BF137&amp;" | Переход: "&amp;BF120&amp;" -&gt; "&amp;BF121&amp;" | Сохранить: "&amp;BF138&amp;" | Нельзя: "&amp;BF139</f>
        <v/>
      </c>
      <c r="BG154" s="36">
        <f>"BG ВИДЕО | Задача: "&amp;BG114&amp;" | Действие: "&amp;BG118&amp;" | Камера: "&amp;BG126&amp;" | Анимация: "&amp;BG133&amp;" | Тайминг: "&amp;BG137&amp;" | Переход: "&amp;BG120&amp;" -&gt; "&amp;BG121&amp;" | Сохранить: "&amp;BG138&amp;" | Нельзя: "&amp;BG139</f>
        <v/>
      </c>
      <c r="BH154" s="36">
        <f>"BH ВИДЕО | Задача: "&amp;BH114&amp;" | Действие: "&amp;BH118&amp;" | Камера: "&amp;BH126&amp;" | Анимация: "&amp;BH133&amp;" | Тайминг: "&amp;BH137&amp;" | Переход: "&amp;BH120&amp;" -&gt; "&amp;BH121&amp;" | Сохранить: "&amp;BH138&amp;" | Нельзя: "&amp;BH139</f>
        <v/>
      </c>
      <c r="BI154" s="36">
        <f>"BI ВИДЕО | Задача: "&amp;BI114&amp;" | Действие: "&amp;BI118&amp;" | Камера: "&amp;BI126&amp;" | Анимация: "&amp;BI133&amp;" | Тайминг: "&amp;BI137&amp;" | Переход: "&amp;BI120&amp;" -&gt; "&amp;BI121&amp;" | Сохранить: "&amp;BI138&amp;" | Нельзя: "&amp;BI139</f>
        <v/>
      </c>
      <c r="BJ154" s="36">
        <f>"BJ ВИДЕО | Задача: "&amp;BJ114&amp;" | Действие: "&amp;BJ118&amp;" | Камера: "&amp;BJ126&amp;" | Анимация: "&amp;BJ133&amp;" | Тайминг: "&amp;BJ137&amp;" | Переход: "&amp;BJ120&amp;" -&gt; "&amp;BJ121&amp;" | Сохранить: "&amp;BJ138&amp;" | Нельзя: "&amp;BJ139</f>
        <v/>
      </c>
      <c r="BK154" s="36">
        <f>"BK ВИДЕО | Задача: "&amp;BK114&amp;" | Действие: "&amp;BK118&amp;" | Камера: "&amp;BK126&amp;" | Анимация: "&amp;BK133&amp;" | Тайминг: "&amp;BK137&amp;" | Переход: "&amp;BK120&amp;" -&gt; "&amp;BK121&amp;" | Сохранить: "&amp;BK138&amp;" | Нельзя: "&amp;BK139</f>
        <v/>
      </c>
      <c r="BL154" s="36">
        <f>"BL ВИДЕО | Задача: "&amp;BL114&amp;" | Действие: "&amp;BL118&amp;" | Камера: "&amp;BL126&amp;" | Анимация: "&amp;BL133&amp;" | Тайминг: "&amp;BL137&amp;" | Переход: "&amp;BL120&amp;" -&gt; "&amp;BL121&amp;" | Сохранить: "&amp;BL138&amp;" | Нельзя: "&amp;BL139</f>
        <v/>
      </c>
      <c r="BM154" s="36">
        <f>"BM ВИДЕО | Задача: "&amp;BM114&amp;" | Действие: "&amp;BM118&amp;" | Камера: "&amp;BM126&amp;" | Анимация: "&amp;BM133&amp;" | Тайминг: "&amp;BM137&amp;" | Переход: "&amp;BM120&amp;" -&gt; "&amp;BM121&amp;" | Сохранить: "&amp;BM138&amp;" | Нельзя: "&amp;BM139</f>
        <v/>
      </c>
      <c r="BN154" s="36">
        <f>"BN ВИДЕО | Задача: "&amp;BN114&amp;" | Действие: "&amp;BN118&amp;" | Камера: "&amp;BN126&amp;" | Анимация: "&amp;BN133&amp;" | Тайминг: "&amp;BN137&amp;" | Переход: "&amp;BN120&amp;" -&gt; "&amp;BN121&amp;" | Сохранить: "&amp;BN138&amp;" | Нельзя: "&amp;BN139</f>
        <v/>
      </c>
      <c r="BO154" s="36">
        <f>"BO ВИДЕО | Задача: "&amp;BO114&amp;" | Действие: "&amp;BO118&amp;" | Камера: "&amp;BO126&amp;" | Анимация: "&amp;BO133&amp;" | Тайминг: "&amp;BO137&amp;" | Переход: "&amp;BO120&amp;" -&gt; "&amp;BO121&amp;" | Сохранить: "&amp;BO138&amp;" | Нельзя: "&amp;BO139</f>
        <v/>
      </c>
      <c r="BP154" s="36">
        <f>"BP ВИДЕО | Задача: "&amp;BP114&amp;" | Действие: "&amp;BP118&amp;" | Камера: "&amp;BP126&amp;" | Анимация: "&amp;BP133&amp;" | Тайминг: "&amp;BP137&amp;" | Переход: "&amp;BP120&amp;" -&gt; "&amp;BP121&amp;" | Сохранить: "&amp;BP138&amp;" | Нельзя: "&amp;BP139</f>
        <v/>
      </c>
      <c r="BQ154" s="36">
        <f>"BQ ВИДЕО | Задача: "&amp;BQ114&amp;" | Действие: "&amp;BQ118&amp;" | Камера: "&amp;BQ126&amp;" | Анимация: "&amp;BQ133&amp;" | Тайминг: "&amp;BQ137&amp;" | Переход: "&amp;BQ120&amp;" -&gt; "&amp;BQ121&amp;" | Сохранить: "&amp;BQ138&amp;" | Нельзя: "&amp;BQ139</f>
        <v/>
      </c>
      <c r="BR154" s="36">
        <f>"BR ВИДЕО | Задача: "&amp;BR114&amp;" | Действие: "&amp;BR118&amp;" | Камера: "&amp;BR126&amp;" | Анимация: "&amp;BR133&amp;" | Тайминг: "&amp;BR137&amp;" | Переход: "&amp;BR120&amp;" -&gt; "&amp;BR121&amp;" | Сохранить: "&amp;BR138&amp;" | Нельзя: "&amp;BR139</f>
        <v/>
      </c>
      <c r="BS154" s="36">
        <f>"BS ВИДЕО | Задача: "&amp;BS114&amp;" | Действие: "&amp;BS118&amp;" | Камера: "&amp;BS126&amp;" | Анимация: "&amp;BS133&amp;" | Тайминг: "&amp;BS137&amp;" | Переход: "&amp;BS120&amp;" -&gt; "&amp;BS121&amp;" | Сохранить: "&amp;BS138&amp;" | Нельзя: "&amp;BS139</f>
        <v/>
      </c>
      <c r="BT154" s="36">
        <f>"BT ВИДЕО | Задача: "&amp;BT114&amp;" | Действие: "&amp;BT118&amp;" | Камера: "&amp;BT126&amp;" | Анимация: "&amp;BT133&amp;" | Тайминг: "&amp;BT137&amp;" | Переход: "&amp;BT120&amp;" -&gt; "&amp;BT121&amp;" | Сохранить: "&amp;BT138&amp;" | Нельзя: "&amp;BT139</f>
        <v/>
      </c>
      <c r="BU154" s="36">
        <f>"BU ВИДЕО | Задача: "&amp;BU114&amp;" | Действие: "&amp;BU118&amp;" | Камера: "&amp;BU126&amp;" | Анимация: "&amp;BU133&amp;" | Тайминг: "&amp;BU137&amp;" | Переход: "&amp;BU120&amp;" -&gt; "&amp;BU121&amp;" | Сохранить: "&amp;BU138&amp;" | Нельзя: "&amp;BU139</f>
        <v/>
      </c>
      <c r="BV154" s="36">
        <f>"BV ВИДЕО | Задача: "&amp;BV114&amp;" | Действие: "&amp;BV118&amp;" | Камера: "&amp;BV126&amp;" | Анимация: "&amp;BV133&amp;" | Тайминг: "&amp;BV137&amp;" | Переход: "&amp;BV120&amp;" -&gt; "&amp;BV121&amp;" | Сохранить: "&amp;BV138&amp;" | Нельзя: "&amp;BV139</f>
        <v/>
      </c>
      <c r="BW154" s="36">
        <f>"BW ВИДЕО | Задача: "&amp;BW114&amp;" | Действие: "&amp;BW118&amp;" | Камера: "&amp;BW126&amp;" | Анимация: "&amp;BW133&amp;" | Тайминг: "&amp;BW137&amp;" | Переход: "&amp;BW120&amp;" -&gt; "&amp;BW121&amp;" | Сохранить: "&amp;BW138&amp;" | Нельзя: "&amp;BW139</f>
        <v/>
      </c>
      <c r="BX154" s="36">
        <f>"BX ВИДЕО | Задача: "&amp;BX114&amp;" | Действие: "&amp;BX118&amp;" | Камера: "&amp;BX126&amp;" | Анимация: "&amp;BX133&amp;" | Тайминг: "&amp;BX137&amp;" | Переход: "&amp;BX120&amp;" -&gt; "&amp;BX121&amp;" | Сохранить: "&amp;BX138&amp;" | Нельзя: "&amp;BX139</f>
        <v/>
      </c>
      <c r="BY154" s="36">
        <f>"BY ВИДЕО | Задача: "&amp;BY114&amp;" | Действие: "&amp;BY118&amp;" | Камера: "&amp;BY126&amp;" | Анимация: "&amp;BY133&amp;" | Тайминг: "&amp;BY137&amp;" | Переход: "&amp;BY120&amp;" -&gt; "&amp;BY121&amp;" | Сохранить: "&amp;BY138&amp;" | Нельзя: "&amp;BY139</f>
        <v/>
      </c>
      <c r="BZ154" s="36">
        <f>"BZ ВИДЕО | Задача: "&amp;BZ114&amp;" | Действие: "&amp;BZ118&amp;" | Камера: "&amp;BZ126&amp;" | Анимация: "&amp;BZ133&amp;" | Тайминг: "&amp;BZ137&amp;" | Переход: "&amp;BZ120&amp;" -&gt; "&amp;BZ121&amp;" | Сохранить: "&amp;BZ138&amp;" | Нельзя: "&amp;BZ139</f>
        <v/>
      </c>
      <c r="CA154" s="36">
        <f>"CA ВИДЕО | Задача: "&amp;CA114&amp;" | Действие: "&amp;CA118&amp;" | Камера: "&amp;CA126&amp;" | Анимация: "&amp;CA133&amp;" | Тайминг: "&amp;CA137&amp;" | Переход: "&amp;CA120&amp;" -&gt; "&amp;CA121&amp;" | Сохранить: "&amp;CA138&amp;" | Нельзя: "&amp;CA139</f>
        <v/>
      </c>
      <c r="CB154" s="36">
        <f>"CB ВИДЕО | Задача: "&amp;CB114&amp;" | Действие: "&amp;CB118&amp;" | Камера: "&amp;CB126&amp;" | Анимация: "&amp;CB133&amp;" | Тайминг: "&amp;CB137&amp;" | Переход: "&amp;CB120&amp;" -&gt; "&amp;CB121&amp;" | Сохранить: "&amp;CB138&amp;" | Нельзя: "&amp;CB139</f>
        <v/>
      </c>
      <c r="CC154" s="36">
        <f>"CC ВИДЕО | Задача: "&amp;CC114&amp;" | Действие: "&amp;CC118&amp;" | Камера: "&amp;CC126&amp;" | Анимация: "&amp;CC133&amp;" | Тайминг: "&amp;CC137&amp;" | Переход: "&amp;CC120&amp;" -&gt; "&amp;CC121&amp;" | Сохранить: "&amp;CC138&amp;" | Нельзя: "&amp;CC139</f>
        <v/>
      </c>
      <c r="CD154" s="36">
        <f>"CD ВИДЕО | Задача: "&amp;CD114&amp;" | Действие: "&amp;CD118&amp;" | Камера: "&amp;CD126&amp;" | Анимация: "&amp;CD133&amp;" | Тайминг: "&amp;CD137&amp;" | Переход: "&amp;CD120&amp;" -&gt; "&amp;CD121&amp;" | Сохранить: "&amp;CD138&amp;" | Нельзя: "&amp;CD139</f>
        <v/>
      </c>
      <c r="CE154" s="36">
        <f>"CE ВИДЕО | Задача: "&amp;CE114&amp;" | Действие: "&amp;CE118&amp;" | Камера: "&amp;CE126&amp;" | Анимация: "&amp;CE133&amp;" | Тайминг: "&amp;CE137&amp;" | Переход: "&amp;CE120&amp;" -&gt; "&amp;CE121&amp;" | Сохранить: "&amp;CE138&amp;" | Нельзя: "&amp;CE139</f>
        <v/>
      </c>
      <c r="CF154" s="36">
        <f>"CF ВИДЕО | Задача: "&amp;CF114&amp;" | Действие: "&amp;CF118&amp;" | Камера: "&amp;CF126&amp;" | Анимация: "&amp;CF133&amp;" | Тайминг: "&amp;CF137&amp;" | Переход: "&amp;CF120&amp;" -&gt; "&amp;CF121&amp;" | Сохранить: "&amp;CF138&amp;" | Нельзя: "&amp;CF139</f>
        <v/>
      </c>
      <c r="CG154" s="36">
        <f>"CG ВИДЕО | Задача: "&amp;CG114&amp;" | Действие: "&amp;CG118&amp;" | Камера: "&amp;CG126&amp;" | Анимация: "&amp;CG133&amp;" | Тайминг: "&amp;CG137&amp;" | Переход: "&amp;CG120&amp;" -&gt; "&amp;CG121&amp;" | Сохранить: "&amp;CG138&amp;" | Нельзя: "&amp;CG139</f>
        <v/>
      </c>
      <c r="CH154" s="36">
        <f>"CH ВИДЕО | Задача: "&amp;CH114&amp;" | Действие: "&amp;CH118&amp;" | Камера: "&amp;CH126&amp;" | Анимация: "&amp;CH133&amp;" | Тайминг: "&amp;CH137&amp;" | Переход: "&amp;CH120&amp;" -&gt; "&amp;CH121&amp;" | Сохранить: "&amp;CH138&amp;" | Нельзя: "&amp;CH139</f>
        <v/>
      </c>
      <c r="CI154" s="36">
        <f>"CI ВИДЕО | Задача: "&amp;CI114&amp;" | Действие: "&amp;CI118&amp;" | Камера: "&amp;CI126&amp;" | Анимация: "&amp;CI133&amp;" | Тайминг: "&amp;CI137&amp;" | Переход: "&amp;CI120&amp;" -&gt; "&amp;CI121&amp;" | Сохранить: "&amp;CI138&amp;" | Нельзя: "&amp;CI139</f>
        <v/>
      </c>
      <c r="CJ154" s="36">
        <f>"CJ ВИДЕО | Задача: "&amp;CJ114&amp;" | Действие: "&amp;CJ118&amp;" | Камера: "&amp;CJ126&amp;" | Анимация: "&amp;CJ133&amp;" | Тайминг: "&amp;CJ137&amp;" | Переход: "&amp;CJ120&amp;" -&gt; "&amp;CJ121&amp;" | Сохранить: "&amp;CJ138&amp;" | Нельзя: "&amp;CJ139</f>
        <v/>
      </c>
      <c r="CK154" s="36">
        <f>"CK ВИДЕО | Задача: "&amp;CK114&amp;" | Действие: "&amp;CK118&amp;" | Камера: "&amp;CK126&amp;" | Анимация: "&amp;CK133&amp;" | Тайминг: "&amp;CK137&amp;" | Переход: "&amp;CK120&amp;" -&gt; "&amp;CK121&amp;" | Сохранить: "&amp;CK138&amp;" | Нельзя: "&amp;CK139</f>
        <v/>
      </c>
      <c r="CL154" s="36">
        <f>"CL ВИДЕО | Задача: "&amp;CL114&amp;" | Действие: "&amp;CL118&amp;" | Камера: "&amp;CL126&amp;" | Анимация: "&amp;CL133&amp;" | Тайминг: "&amp;CL137&amp;" | Переход: "&amp;CL120&amp;" -&gt; "&amp;CL121&amp;" | Сохранить: "&amp;CL138&amp;" | Нельзя: "&amp;CL139</f>
        <v/>
      </c>
      <c r="CM154" s="36">
        <f>"CM ВИДЕО | Задача: "&amp;CM114&amp;" | Действие: "&amp;CM118&amp;" | Камера: "&amp;CM126&amp;" | Анимация: "&amp;CM133&amp;" | Тайминг: "&amp;CM137&amp;" | Переход: "&amp;CM120&amp;" -&gt; "&amp;CM121&amp;" | Сохранить: "&amp;CM138&amp;" | Нельзя: "&amp;CM139</f>
        <v/>
      </c>
      <c r="CN154" s="2" t="n"/>
      <c r="CO154" s="2" t="n"/>
      <c r="CP154" s="2" t="n"/>
      <c r="CQ154" s="2" t="n"/>
      <c r="CR154" s="2" t="n"/>
      <c r="CS154" s="2" t="n"/>
      <c r="CT154" s="2" t="n"/>
      <c r="CU154" s="2" t="n"/>
      <c r="CV154" s="2" t="n"/>
      <c r="CW154" s="2" t="n"/>
      <c r="CX154" s="2" t="n"/>
      <c r="CY154" s="2" t="n"/>
      <c r="CZ154" s="2" t="n"/>
      <c r="DA154" s="2" t="n"/>
      <c r="DB154" s="2" t="n"/>
      <c r="DC154" s="2" t="n"/>
      <c r="DD154" s="2" t="n"/>
      <c r="DE154" s="2" t="n"/>
      <c r="DF154" s="2" t="n"/>
      <c r="DG154" s="2" t="n"/>
      <c r="DH154" s="2" t="n"/>
    </row>
    <row r="155" ht="45" customFormat="1" customHeight="1" s="76">
      <c r="A155" s="35" t="n"/>
      <c r="B155" s="34" t="n"/>
      <c r="C155" s="45" t="n"/>
      <c r="D155" s="36" t="n"/>
      <c r="E155" s="36" t="n"/>
      <c r="F155" s="36" t="n"/>
      <c r="G155" s="36" t="n"/>
      <c r="H155" s="36" t="n"/>
      <c r="I155" s="36" t="n"/>
      <c r="J155" s="36" t="n"/>
      <c r="K155" s="36" t="n"/>
      <c r="L155" s="36" t="n"/>
      <c r="M155" s="36" t="n"/>
      <c r="N155" s="36" t="n"/>
      <c r="O155" s="36" t="n"/>
      <c r="P155" s="36" t="n"/>
      <c r="Q155" s="36" t="n"/>
      <c r="R155" s="36" t="n"/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  <c r="AB155" s="36" t="n"/>
      <c r="AC155" s="36" t="n"/>
      <c r="AD155" s="36" t="n"/>
      <c r="AE155" s="36" t="n"/>
      <c r="AF155" s="36" t="n"/>
      <c r="AG155" s="36" t="n"/>
      <c r="AH155" s="36" t="n"/>
      <c r="AI155" s="36" t="n"/>
      <c r="AJ155" s="36" t="n"/>
      <c r="AK155" s="36" t="n"/>
      <c r="AL155" s="36" t="n"/>
      <c r="AM155" s="36" t="n"/>
      <c r="AN155" s="36" t="n"/>
      <c r="AO155" s="36" t="n"/>
      <c r="AP155" s="36" t="n"/>
      <c r="AQ155" s="36" t="n"/>
      <c r="AR155" s="36" t="n"/>
      <c r="AS155" s="36" t="n"/>
      <c r="AT155" s="36" t="n"/>
      <c r="AU155" s="36" t="n"/>
      <c r="AV155" s="36" t="n"/>
      <c r="AW155" s="36" t="n"/>
      <c r="AX155" s="36" t="n"/>
      <c r="AY155" s="36" t="n"/>
      <c r="AZ155" s="36" t="n"/>
      <c r="BA155" s="36" t="n"/>
      <c r="BB155" s="36" t="n"/>
      <c r="BC155" s="36" t="n"/>
      <c r="BD155" s="36" t="n"/>
      <c r="BE155" s="36" t="n"/>
      <c r="BF155" s="36" t="n"/>
      <c r="BG155" s="36" t="n"/>
      <c r="BH155" s="36" t="n"/>
      <c r="BI155" s="36" t="n"/>
      <c r="BJ155" s="36" t="n"/>
      <c r="BK155" s="36" t="n"/>
      <c r="BL155" s="36" t="n"/>
      <c r="BM155" s="36" t="n"/>
      <c r="BN155" s="36" t="n"/>
      <c r="BO155" s="36" t="n"/>
      <c r="BP155" s="36" t="n"/>
      <c r="BQ155" s="36" t="n"/>
      <c r="BR155" s="36" t="n"/>
      <c r="BS155" s="36" t="n"/>
      <c r="BT155" s="36" t="n"/>
      <c r="BU155" s="36" t="n"/>
      <c r="BV155" s="36" t="n"/>
      <c r="BW155" s="36" t="n"/>
      <c r="BX155" s="36" t="n"/>
      <c r="BY155" s="36" t="n"/>
      <c r="BZ155" s="36" t="n"/>
      <c r="CA155" s="36" t="n"/>
      <c r="CB155" s="36" t="n"/>
      <c r="CC155" s="36" t="n"/>
      <c r="CD155" s="36" t="n"/>
      <c r="CE155" s="36" t="n"/>
      <c r="CF155" s="36" t="n"/>
      <c r="CG155" s="36" t="n"/>
      <c r="CH155" s="36" t="n"/>
      <c r="CI155" s="36" t="n"/>
      <c r="CJ155" s="36" t="n"/>
      <c r="CK155" s="36" t="n"/>
      <c r="CL155" s="36" t="n"/>
      <c r="CM155" s="36" t="n"/>
      <c r="CN155" s="2" t="n"/>
      <c r="CO155" s="2" t="n"/>
      <c r="CP155" s="2" t="n"/>
      <c r="CQ155" s="2" t="n"/>
      <c r="CR155" s="2" t="n"/>
      <c r="CS155" s="2" t="n"/>
      <c r="CT155" s="2" t="n"/>
      <c r="CU155" s="2" t="n"/>
      <c r="CV155" s="2" t="n"/>
      <c r="CW155" s="2" t="n"/>
      <c r="CX155" s="2" t="n"/>
      <c r="CY155" s="2" t="n"/>
      <c r="CZ155" s="2" t="n"/>
      <c r="DA155" s="2" t="n"/>
      <c r="DB155" s="2" t="n"/>
      <c r="DC155" s="2" t="n"/>
      <c r="DD155" s="2" t="n"/>
      <c r="DE155" s="2" t="n"/>
      <c r="DF155" s="2" t="n"/>
      <c r="DG155" s="2" t="n"/>
      <c r="DH155" s="2" t="n"/>
    </row>
    <row r="156" ht="45" customFormat="1" customHeight="1" s="76">
      <c r="A156" s="34" t="n"/>
      <c r="B156" s="34" t="n"/>
      <c r="C156" s="45" t="n"/>
      <c r="D156" s="36" t="n"/>
      <c r="E156" s="36" t="n"/>
      <c r="F156" s="36" t="n"/>
      <c r="G156" s="36" t="n"/>
      <c r="H156" s="36" t="n"/>
      <c r="I156" s="36" t="n"/>
      <c r="J156" s="36" t="n"/>
      <c r="K156" s="36" t="n"/>
      <c r="L156" s="36" t="n"/>
      <c r="M156" s="36" t="n"/>
      <c r="N156" s="36" t="n"/>
      <c r="O156" s="36" t="n"/>
      <c r="P156" s="36" t="n"/>
      <c r="Q156" s="36" t="n"/>
      <c r="R156" s="36" t="n"/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  <c r="AB156" s="36" t="n"/>
      <c r="AC156" s="36" t="n"/>
      <c r="AD156" s="36" t="n"/>
      <c r="AE156" s="36" t="n"/>
      <c r="AF156" s="36" t="n"/>
      <c r="AG156" s="36" t="n"/>
      <c r="AH156" s="36" t="n"/>
      <c r="AI156" s="36" t="n"/>
      <c r="AJ156" s="36" t="n"/>
      <c r="AK156" s="36" t="n"/>
      <c r="AL156" s="36" t="n"/>
      <c r="AM156" s="36" t="n"/>
      <c r="AN156" s="36" t="n"/>
      <c r="AO156" s="36" t="n"/>
      <c r="AP156" s="36" t="n"/>
      <c r="AQ156" s="36" t="n"/>
      <c r="AR156" s="36" t="n"/>
      <c r="AS156" s="36" t="n"/>
      <c r="AT156" s="36" t="n"/>
      <c r="AU156" s="36" t="n"/>
      <c r="AV156" s="36" t="n"/>
      <c r="AW156" s="36" t="n"/>
      <c r="AX156" s="36" t="n"/>
      <c r="AY156" s="36" t="n"/>
      <c r="AZ156" s="36" t="n"/>
      <c r="BA156" s="36" t="n"/>
      <c r="BB156" s="36" t="n"/>
      <c r="BC156" s="36" t="n"/>
      <c r="BD156" s="36" t="n"/>
      <c r="BE156" s="36" t="n"/>
      <c r="BF156" s="36" t="n"/>
      <c r="BG156" s="36" t="n"/>
      <c r="BH156" s="36" t="n"/>
      <c r="BI156" s="36" t="n"/>
      <c r="BJ156" s="36" t="n"/>
      <c r="BK156" s="36" t="n"/>
      <c r="BL156" s="36" t="n"/>
      <c r="BM156" s="36" t="n"/>
      <c r="BN156" s="36" t="n"/>
      <c r="BO156" s="36" t="n"/>
      <c r="BP156" s="36" t="n"/>
      <c r="BQ156" s="36" t="n"/>
      <c r="BR156" s="36" t="n"/>
      <c r="BS156" s="36" t="n"/>
      <c r="BT156" s="36" t="n"/>
      <c r="BU156" s="36" t="n"/>
      <c r="BV156" s="36" t="n"/>
      <c r="BW156" s="36" t="n"/>
      <c r="BX156" s="36" t="n"/>
      <c r="BY156" s="36" t="n"/>
      <c r="BZ156" s="36" t="n"/>
      <c r="CA156" s="36" t="n"/>
      <c r="CB156" s="36" t="n"/>
      <c r="CC156" s="36" t="n"/>
      <c r="CD156" s="36" t="n"/>
      <c r="CE156" s="36" t="n"/>
      <c r="CF156" s="36" t="n"/>
      <c r="CG156" s="36" t="n"/>
      <c r="CH156" s="36" t="n"/>
      <c r="CI156" s="36" t="n"/>
      <c r="CJ156" s="36" t="n"/>
      <c r="CK156" s="36" t="n"/>
      <c r="CL156" s="36" t="n"/>
      <c r="CM156" s="36" t="n"/>
      <c r="CN156" s="2" t="n"/>
      <c r="CO156" s="2" t="n"/>
      <c r="CP156" s="2" t="n"/>
      <c r="CQ156" s="2" t="n"/>
      <c r="CR156" s="2" t="n"/>
      <c r="CS156" s="2" t="n"/>
      <c r="CT156" s="2" t="n"/>
      <c r="CU156" s="2" t="n"/>
      <c r="CV156" s="2" t="n"/>
      <c r="CW156" s="2" t="n"/>
      <c r="CX156" s="2" t="n"/>
      <c r="CY156" s="2" t="n"/>
      <c r="CZ156" s="2" t="n"/>
      <c r="DA156" s="2" t="n"/>
      <c r="DB156" s="2" t="n"/>
      <c r="DC156" s="2" t="n"/>
      <c r="DD156" s="2" t="n"/>
      <c r="DE156" s="2" t="n"/>
      <c r="DF156" s="2" t="n"/>
      <c r="DG156" s="2" t="n"/>
      <c r="DH156" s="2" t="n"/>
    </row>
    <row r="157" ht="12.75" customFormat="1" customHeight="1" s="76">
      <c r="A157" s="34" t="n"/>
      <c r="B157" s="62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  <c r="AV157" s="2" t="n"/>
      <c r="AW157" s="2" t="n"/>
      <c r="AX157" s="2" t="n"/>
      <c r="AY157" s="2" t="n"/>
      <c r="AZ157" s="2" t="n"/>
      <c r="BA157" s="2" t="n"/>
      <c r="BB157" s="2" t="n"/>
      <c r="BC157" s="2" t="n"/>
      <c r="BD157" s="2" t="n"/>
      <c r="BE157" s="2" t="n"/>
      <c r="BF157" s="2" t="n"/>
      <c r="BG157" s="2" t="n"/>
      <c r="BH157" s="2" t="n"/>
      <c r="BI157" s="2" t="n"/>
      <c r="BJ157" s="2" t="n"/>
      <c r="BK157" s="2" t="n"/>
      <c r="BL157" s="2" t="n"/>
      <c r="BM157" s="2" t="n"/>
      <c r="BN157" s="2" t="n"/>
      <c r="BO157" s="2" t="n"/>
      <c r="BP157" s="2" t="n"/>
      <c r="BQ157" s="2" t="n"/>
      <c r="BR157" s="2" t="n"/>
      <c r="BS157" s="2" t="n"/>
      <c r="BT157" s="2" t="n"/>
      <c r="BU157" s="2" t="n"/>
      <c r="BV157" s="2" t="n"/>
      <c r="BW157" s="2" t="n"/>
      <c r="BX157" s="2" t="n"/>
      <c r="BY157" s="2" t="n"/>
      <c r="BZ157" s="2" t="n"/>
      <c r="CA157" s="2" t="n"/>
      <c r="CB157" s="2" t="n"/>
      <c r="CC157" s="2" t="n"/>
      <c r="CD157" s="2" t="n"/>
      <c r="CE157" s="2" t="n"/>
      <c r="CF157" s="2" t="n"/>
      <c r="CG157" s="2" t="n"/>
      <c r="CH157" s="2" t="n"/>
      <c r="CI157" s="2" t="n"/>
      <c r="CJ157" s="2" t="n"/>
      <c r="CK157" s="2" t="n"/>
      <c r="CL157" s="2" t="n"/>
      <c r="CM157" s="2" t="n"/>
      <c r="CN157" s="2" t="n"/>
      <c r="CO157" s="2" t="n"/>
      <c r="CP157" s="2" t="n"/>
      <c r="CQ157" s="2" t="n"/>
      <c r="CR157" s="2" t="n"/>
      <c r="CS157" s="2" t="n"/>
      <c r="CT157" s="2" t="n"/>
      <c r="CU157" s="2" t="n"/>
      <c r="CV157" s="2" t="n"/>
      <c r="CW157" s="2" t="n"/>
      <c r="CX157" s="2" t="n"/>
      <c r="CY157" s="2" t="n"/>
      <c r="CZ157" s="2" t="n"/>
      <c r="DA157" s="2" t="n"/>
      <c r="DB157" s="2" t="n"/>
      <c r="DC157" s="2" t="n"/>
      <c r="DD157" s="2" t="n"/>
      <c r="DE157" s="2" t="n"/>
      <c r="DF157" s="2" t="n"/>
      <c r="DG157" s="2" t="n"/>
      <c r="DH157" s="2" t="n"/>
    </row>
    <row r="158" ht="12.75" customFormat="1" customHeight="1" s="76">
      <c r="A158" s="34" t="n"/>
      <c r="B158" s="62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  <c r="AV158" s="2" t="n"/>
      <c r="AW158" s="2" t="n"/>
      <c r="AX158" s="2" t="n"/>
      <c r="AY158" s="2" t="n"/>
      <c r="AZ158" s="2" t="n"/>
      <c r="BA158" s="2" t="n"/>
      <c r="BB158" s="2" t="n"/>
      <c r="BC158" s="2" t="n"/>
      <c r="BD158" s="2" t="n"/>
      <c r="BE158" s="2" t="n"/>
      <c r="BF158" s="2" t="n"/>
      <c r="BG158" s="2" t="n"/>
      <c r="BH158" s="2" t="n"/>
      <c r="BI158" s="2" t="n"/>
      <c r="BJ158" s="2" t="n"/>
      <c r="BK158" s="2" t="n"/>
      <c r="BL158" s="2" t="n"/>
      <c r="BM158" s="2" t="n"/>
      <c r="BN158" s="2" t="n"/>
      <c r="BO158" s="2" t="n"/>
      <c r="BP158" s="2" t="n"/>
      <c r="BQ158" s="2" t="n"/>
      <c r="BR158" s="2" t="n"/>
      <c r="BS158" s="2" t="n"/>
      <c r="BT158" s="2" t="n"/>
      <c r="BU158" s="2" t="n"/>
      <c r="BV158" s="2" t="n"/>
      <c r="BW158" s="2" t="n"/>
      <c r="BX158" s="2" t="n"/>
      <c r="BY158" s="2" t="n"/>
      <c r="BZ158" s="2" t="n"/>
      <c r="CA158" s="2" t="n"/>
      <c r="CB158" s="2" t="n"/>
      <c r="CC158" s="2" t="n"/>
      <c r="CD158" s="2" t="n"/>
      <c r="CE158" s="2" t="n"/>
      <c r="CF158" s="2" t="n"/>
      <c r="CG158" s="2" t="n"/>
      <c r="CH158" s="2" t="n"/>
      <c r="CI158" s="2" t="n"/>
      <c r="CJ158" s="2" t="n"/>
      <c r="CK158" s="2" t="n"/>
      <c r="CL158" s="2" t="n"/>
      <c r="CM158" s="2" t="n"/>
      <c r="CN158" s="2" t="n"/>
      <c r="CO158" s="2" t="n"/>
      <c r="CP158" s="2" t="n"/>
      <c r="CQ158" s="2" t="n"/>
      <c r="CR158" s="2" t="n"/>
      <c r="CS158" s="2" t="n"/>
      <c r="CT158" s="2" t="n"/>
      <c r="CU158" s="2" t="n"/>
      <c r="CV158" s="2" t="n"/>
      <c r="CW158" s="2" t="n"/>
      <c r="CX158" s="2" t="n"/>
      <c r="CY158" s="2" t="n"/>
      <c r="CZ158" s="2" t="n"/>
      <c r="DA158" s="2" t="n"/>
      <c r="DB158" s="2" t="n"/>
      <c r="DC158" s="2" t="n"/>
      <c r="DD158" s="2" t="n"/>
      <c r="DE158" s="2" t="n"/>
      <c r="DF158" s="2" t="n"/>
      <c r="DG158" s="2" t="n"/>
      <c r="DH158" s="2" t="n"/>
    </row>
    <row r="159" ht="12.75" customFormat="1" customHeight="1" s="76">
      <c r="A159" s="34" t="n"/>
      <c r="B159" s="62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</row>
    <row r="160" ht="12.75" customFormat="1" customHeight="1" s="76">
      <c r="A160" s="34" t="n"/>
      <c r="B160" s="62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</row>
    <row r="161" ht="12.75" customFormat="1" customHeight="1" s="76">
      <c r="A161" s="34" t="n"/>
      <c r="B161" s="62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/>
      <c r="BB161" s="2" t="n"/>
      <c r="BC161" s="2" t="n"/>
      <c r="BD161" s="2" t="n"/>
      <c r="BE161" s="2" t="n"/>
      <c r="BF161" s="2" t="n"/>
      <c r="BG161" s="2" t="n"/>
      <c r="BH161" s="2" t="n"/>
      <c r="BI161" s="2" t="n"/>
      <c r="BJ161" s="2" t="n"/>
      <c r="BK161" s="2" t="n"/>
      <c r="BL161" s="2" t="n"/>
      <c r="BM161" s="2" t="n"/>
      <c r="BN161" s="2" t="n"/>
      <c r="BO161" s="2" t="n"/>
      <c r="BP161" s="2" t="n"/>
      <c r="BQ161" s="2" t="n"/>
      <c r="BR161" s="2" t="n"/>
      <c r="BS161" s="2" t="n"/>
      <c r="BT161" s="2" t="n"/>
      <c r="BU161" s="2" t="n"/>
      <c r="BV161" s="2" t="n"/>
      <c r="BW161" s="2" t="n"/>
      <c r="BX161" s="2" t="n"/>
      <c r="BY161" s="2" t="n"/>
      <c r="BZ161" s="2" t="n"/>
      <c r="CA161" s="2" t="n"/>
      <c r="CB161" s="2" t="n"/>
      <c r="CC161" s="2" t="n"/>
      <c r="CD161" s="2" t="n"/>
      <c r="CE161" s="2" t="n"/>
      <c r="CF161" s="2" t="n"/>
      <c r="CG161" s="2" t="n"/>
      <c r="CH161" s="2" t="n"/>
      <c r="CI161" s="2" t="n"/>
      <c r="CJ161" s="2" t="n"/>
      <c r="CK161" s="2" t="n"/>
      <c r="CL161" s="2" t="n"/>
      <c r="CM161" s="2" t="n"/>
      <c r="CN161" s="2" t="n"/>
      <c r="CO161" s="2" t="n"/>
      <c r="CP161" s="2" t="n"/>
      <c r="CQ161" s="2" t="n"/>
      <c r="CR161" s="2" t="n"/>
      <c r="CS161" s="2" t="n"/>
      <c r="CT161" s="2" t="n"/>
      <c r="CU161" s="2" t="n"/>
      <c r="CV161" s="2" t="n"/>
      <c r="CW161" s="2" t="n"/>
      <c r="CX161" s="2" t="n"/>
      <c r="CY161" s="2" t="n"/>
      <c r="CZ161" s="2" t="n"/>
      <c r="DA161" s="2" t="n"/>
      <c r="DB161" s="2" t="n"/>
      <c r="DC161" s="2" t="n"/>
      <c r="DD161" s="2" t="n"/>
      <c r="DE161" s="2" t="n"/>
      <c r="DF161" s="2" t="n"/>
      <c r="DG161" s="2" t="n"/>
      <c r="DH161" s="2" t="n"/>
    </row>
    <row r="162" ht="12.75" customFormat="1" customHeight="1" s="76">
      <c r="A162" s="34" t="n"/>
      <c r="B162" s="62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  <c r="AV162" s="2" t="n"/>
      <c r="AW162" s="2" t="n"/>
      <c r="AX162" s="2" t="n"/>
      <c r="AY162" s="2" t="n"/>
      <c r="AZ162" s="2" t="n"/>
      <c r="BA162" s="2" t="n"/>
      <c r="BB162" s="2" t="n"/>
      <c r="BC162" s="2" t="n"/>
      <c r="BD162" s="2" t="n"/>
      <c r="BE162" s="2" t="n"/>
      <c r="BF162" s="2" t="n"/>
      <c r="BG162" s="2" t="n"/>
      <c r="BH162" s="2" t="n"/>
      <c r="BI162" s="2" t="n"/>
      <c r="BJ162" s="2" t="n"/>
      <c r="BK162" s="2" t="n"/>
      <c r="BL162" s="2" t="n"/>
      <c r="BM162" s="2" t="n"/>
      <c r="BN162" s="2" t="n"/>
      <c r="BO162" s="2" t="n"/>
      <c r="BP162" s="2" t="n"/>
      <c r="BQ162" s="2" t="n"/>
      <c r="BR162" s="2" t="n"/>
      <c r="BS162" s="2" t="n"/>
      <c r="BT162" s="2" t="n"/>
      <c r="BU162" s="2" t="n"/>
      <c r="BV162" s="2" t="n"/>
      <c r="BW162" s="2" t="n"/>
      <c r="BX162" s="2" t="n"/>
      <c r="BY162" s="2" t="n"/>
      <c r="BZ162" s="2" t="n"/>
      <c r="CA162" s="2" t="n"/>
      <c r="CB162" s="2" t="n"/>
      <c r="CC162" s="2" t="n"/>
      <c r="CD162" s="2" t="n"/>
      <c r="CE162" s="2" t="n"/>
      <c r="CF162" s="2" t="n"/>
      <c r="CG162" s="2" t="n"/>
      <c r="CH162" s="2" t="n"/>
      <c r="CI162" s="2" t="n"/>
      <c r="CJ162" s="2" t="n"/>
      <c r="CK162" s="2" t="n"/>
      <c r="CL162" s="2" t="n"/>
      <c r="CM162" s="2" t="n"/>
      <c r="CN162" s="2" t="n"/>
      <c r="CO162" s="2" t="n"/>
      <c r="CP162" s="2" t="n"/>
      <c r="CQ162" s="2" t="n"/>
      <c r="CR162" s="2" t="n"/>
      <c r="CS162" s="2" t="n"/>
      <c r="CT162" s="2" t="n"/>
      <c r="CU162" s="2" t="n"/>
      <c r="CV162" s="2" t="n"/>
      <c r="CW162" s="2" t="n"/>
      <c r="CX162" s="2" t="n"/>
      <c r="CY162" s="2" t="n"/>
      <c r="CZ162" s="2" t="n"/>
      <c r="DA162" s="2" t="n"/>
      <c r="DB162" s="2" t="n"/>
      <c r="DC162" s="2" t="n"/>
      <c r="DD162" s="2" t="n"/>
      <c r="DE162" s="2" t="n"/>
      <c r="DF162" s="2" t="n"/>
      <c r="DG162" s="2" t="n"/>
      <c r="DH162" s="2" t="n"/>
    </row>
    <row r="163" ht="12.75" customFormat="1" customHeight="1" s="76">
      <c r="A163" s="34" t="n"/>
      <c r="B163" s="62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  <c r="AV163" s="2" t="n"/>
      <c r="AW163" s="2" t="n"/>
      <c r="AX163" s="2" t="n"/>
      <c r="AY163" s="2" t="n"/>
      <c r="AZ163" s="2" t="n"/>
      <c r="BA163" s="2" t="n"/>
      <c r="BB163" s="2" t="n"/>
      <c r="BC163" s="2" t="n"/>
      <c r="BD163" s="2" t="n"/>
      <c r="BE163" s="2" t="n"/>
      <c r="BF163" s="2" t="n"/>
      <c r="BG163" s="2" t="n"/>
      <c r="BH163" s="2" t="n"/>
      <c r="BI163" s="2" t="n"/>
      <c r="BJ163" s="2" t="n"/>
      <c r="BK163" s="2" t="n"/>
      <c r="BL163" s="2" t="n"/>
      <c r="BM163" s="2" t="n"/>
      <c r="BN163" s="2" t="n"/>
      <c r="BO163" s="2" t="n"/>
      <c r="BP163" s="2" t="n"/>
      <c r="BQ163" s="2" t="n"/>
      <c r="BR163" s="2" t="n"/>
      <c r="BS163" s="2" t="n"/>
      <c r="BT163" s="2" t="n"/>
      <c r="BU163" s="2" t="n"/>
      <c r="BV163" s="2" t="n"/>
      <c r="BW163" s="2" t="n"/>
      <c r="BX163" s="2" t="n"/>
      <c r="BY163" s="2" t="n"/>
      <c r="BZ163" s="2" t="n"/>
      <c r="CA163" s="2" t="n"/>
      <c r="CB163" s="2" t="n"/>
      <c r="CC163" s="2" t="n"/>
      <c r="CD163" s="2" t="n"/>
      <c r="CE163" s="2" t="n"/>
      <c r="CF163" s="2" t="n"/>
      <c r="CG163" s="2" t="n"/>
      <c r="CH163" s="2" t="n"/>
      <c r="CI163" s="2" t="n"/>
      <c r="CJ163" s="2" t="n"/>
      <c r="CK163" s="2" t="n"/>
      <c r="CL163" s="2" t="n"/>
      <c r="CM163" s="2" t="n"/>
      <c r="CN163" s="2" t="n"/>
      <c r="CO163" s="2" t="n"/>
      <c r="CP163" s="2" t="n"/>
      <c r="CQ163" s="2" t="n"/>
      <c r="CR163" s="2" t="n"/>
      <c r="CS163" s="2" t="n"/>
      <c r="CT163" s="2" t="n"/>
      <c r="CU163" s="2" t="n"/>
      <c r="CV163" s="2" t="n"/>
      <c r="CW163" s="2" t="n"/>
      <c r="CX163" s="2" t="n"/>
      <c r="CY163" s="2" t="n"/>
      <c r="CZ163" s="2" t="n"/>
      <c r="DA163" s="2" t="n"/>
      <c r="DB163" s="2" t="n"/>
      <c r="DC163" s="2" t="n"/>
      <c r="DD163" s="2" t="n"/>
      <c r="DE163" s="2" t="n"/>
      <c r="DF163" s="2" t="n"/>
      <c r="DG163" s="2" t="n"/>
      <c r="DH163" s="2" t="n"/>
    </row>
    <row r="164" ht="12.75" customFormat="1" customHeight="1" s="76">
      <c r="A164" s="34" t="n"/>
      <c r="B164" s="62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  <c r="AV164" s="2" t="n"/>
      <c r="AW164" s="2" t="n"/>
      <c r="AX164" s="2" t="n"/>
      <c r="AY164" s="2" t="n"/>
      <c r="AZ164" s="2" t="n"/>
      <c r="BA164" s="2" t="n"/>
      <c r="BB164" s="2" t="n"/>
      <c r="BC164" s="2" t="n"/>
      <c r="BD164" s="2" t="n"/>
      <c r="BE164" s="2" t="n"/>
      <c r="BF164" s="2" t="n"/>
      <c r="BG164" s="2" t="n"/>
      <c r="BH164" s="2" t="n"/>
      <c r="BI164" s="2" t="n"/>
      <c r="BJ164" s="2" t="n"/>
      <c r="BK164" s="2" t="n"/>
      <c r="BL164" s="2" t="n"/>
      <c r="BM164" s="2" t="n"/>
      <c r="BN164" s="2" t="n"/>
      <c r="BO164" s="2" t="n"/>
      <c r="BP164" s="2" t="n"/>
      <c r="BQ164" s="2" t="n"/>
      <c r="BR164" s="2" t="n"/>
      <c r="BS164" s="2" t="n"/>
      <c r="BT164" s="2" t="n"/>
      <c r="BU164" s="2" t="n"/>
      <c r="BV164" s="2" t="n"/>
      <c r="BW164" s="2" t="n"/>
      <c r="BX164" s="2" t="n"/>
      <c r="BY164" s="2" t="n"/>
      <c r="BZ164" s="2" t="n"/>
      <c r="CA164" s="2" t="n"/>
      <c r="CB164" s="2" t="n"/>
      <c r="CC164" s="2" t="n"/>
      <c r="CD164" s="2" t="n"/>
      <c r="CE164" s="2" t="n"/>
      <c r="CF164" s="2" t="n"/>
      <c r="CG164" s="2" t="n"/>
      <c r="CH164" s="2" t="n"/>
      <c r="CI164" s="2" t="n"/>
      <c r="CJ164" s="2" t="n"/>
      <c r="CK164" s="2" t="n"/>
      <c r="CL164" s="2" t="n"/>
      <c r="CM164" s="2" t="n"/>
      <c r="CN164" s="2" t="n"/>
      <c r="CO164" s="2" t="n"/>
      <c r="CP164" s="2" t="n"/>
      <c r="CQ164" s="2" t="n"/>
      <c r="CR164" s="2" t="n"/>
      <c r="CS164" s="2" t="n"/>
      <c r="CT164" s="2" t="n"/>
      <c r="CU164" s="2" t="n"/>
      <c r="CV164" s="2" t="n"/>
      <c r="CW164" s="2" t="n"/>
      <c r="CX164" s="2" t="n"/>
      <c r="CY164" s="2" t="n"/>
      <c r="CZ164" s="2" t="n"/>
      <c r="DA164" s="2" t="n"/>
      <c r="DB164" s="2" t="n"/>
      <c r="DC164" s="2" t="n"/>
      <c r="DD164" s="2" t="n"/>
      <c r="DE164" s="2" t="n"/>
      <c r="DF164" s="2" t="n"/>
      <c r="DG164" s="2" t="n"/>
      <c r="DH164" s="2" t="n"/>
    </row>
    <row r="165" ht="12.75" customFormat="1" customHeight="1" s="76">
      <c r="A165" s="35" t="n"/>
      <c r="B165" s="62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  <c r="AV165" s="2" t="n"/>
      <c r="AW165" s="2" t="n"/>
      <c r="AX165" s="2" t="n"/>
      <c r="AY165" s="2" t="n"/>
      <c r="AZ165" s="2" t="n"/>
      <c r="BA165" s="2" t="n"/>
      <c r="BB165" s="2" t="n"/>
      <c r="BC165" s="2" t="n"/>
      <c r="BD165" s="2" t="n"/>
      <c r="BE165" s="2" t="n"/>
      <c r="BF165" s="2" t="n"/>
      <c r="BG165" s="2" t="n"/>
      <c r="BH165" s="2" t="n"/>
      <c r="BI165" s="2" t="n"/>
      <c r="BJ165" s="2" t="n"/>
      <c r="BK165" s="2" t="n"/>
      <c r="BL165" s="2" t="n"/>
      <c r="BM165" s="2" t="n"/>
      <c r="BN165" s="2" t="n"/>
      <c r="BO165" s="2" t="n"/>
      <c r="BP165" s="2" t="n"/>
      <c r="BQ165" s="2" t="n"/>
      <c r="BR165" s="2" t="n"/>
      <c r="BS165" s="2" t="n"/>
      <c r="BT165" s="2" t="n"/>
      <c r="BU165" s="2" t="n"/>
      <c r="BV165" s="2" t="n"/>
      <c r="BW165" s="2" t="n"/>
      <c r="BX165" s="2" t="n"/>
      <c r="BY165" s="2" t="n"/>
      <c r="BZ165" s="2" t="n"/>
      <c r="CA165" s="2" t="n"/>
      <c r="CB165" s="2" t="n"/>
      <c r="CC165" s="2" t="n"/>
      <c r="CD165" s="2" t="n"/>
      <c r="CE165" s="2" t="n"/>
      <c r="CF165" s="2" t="n"/>
      <c r="CG165" s="2" t="n"/>
      <c r="CH165" s="2" t="n"/>
      <c r="CI165" s="2" t="n"/>
      <c r="CJ165" s="2" t="n"/>
      <c r="CK165" s="2" t="n"/>
      <c r="CL165" s="2" t="n"/>
      <c r="CM165" s="2" t="n"/>
      <c r="CN165" s="2" t="n"/>
      <c r="CO165" s="2" t="n"/>
      <c r="CP165" s="2" t="n"/>
      <c r="CQ165" s="2" t="n"/>
      <c r="CR165" s="2" t="n"/>
      <c r="CS165" s="2" t="n"/>
      <c r="CT165" s="2" t="n"/>
      <c r="CU165" s="2" t="n"/>
      <c r="CV165" s="2" t="n"/>
      <c r="CW165" s="2" t="n"/>
      <c r="CX165" s="2" t="n"/>
      <c r="CY165" s="2" t="n"/>
      <c r="CZ165" s="2" t="n"/>
      <c r="DA165" s="2" t="n"/>
      <c r="DB165" s="2" t="n"/>
      <c r="DC165" s="2" t="n"/>
      <c r="DD165" s="2" t="n"/>
      <c r="DE165" s="2" t="n"/>
      <c r="DF165" s="2" t="n"/>
      <c r="DG165" s="2" t="n"/>
      <c r="DH165" s="2" t="n"/>
    </row>
    <row r="166" ht="12.75" customFormat="1" customHeight="1" s="76">
      <c r="A166" s="34" t="n"/>
      <c r="B166" s="62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  <c r="BA166" s="2" t="n"/>
      <c r="BB166" s="2" t="n"/>
      <c r="BC166" s="2" t="n"/>
      <c r="BD166" s="2" t="n"/>
      <c r="BE166" s="2" t="n"/>
      <c r="BF166" s="2" t="n"/>
      <c r="BG166" s="2" t="n"/>
      <c r="BH166" s="2" t="n"/>
      <c r="BI166" s="2" t="n"/>
      <c r="BJ166" s="2" t="n"/>
      <c r="BK166" s="2" t="n"/>
      <c r="BL166" s="2" t="n"/>
      <c r="BM166" s="2" t="n"/>
      <c r="BN166" s="2" t="n"/>
      <c r="BO166" s="2" t="n"/>
      <c r="BP166" s="2" t="n"/>
      <c r="BQ166" s="2" t="n"/>
      <c r="BR166" s="2" t="n"/>
      <c r="BS166" s="2" t="n"/>
      <c r="BT166" s="2" t="n"/>
      <c r="BU166" s="2" t="n"/>
      <c r="BV166" s="2" t="n"/>
      <c r="BW166" s="2" t="n"/>
      <c r="BX166" s="2" t="n"/>
      <c r="BY166" s="2" t="n"/>
      <c r="BZ166" s="2" t="n"/>
      <c r="CA166" s="2" t="n"/>
      <c r="CB166" s="2" t="n"/>
      <c r="CC166" s="2" t="n"/>
      <c r="CD166" s="2" t="n"/>
      <c r="CE166" s="2" t="n"/>
      <c r="CF166" s="2" t="n"/>
      <c r="CG166" s="2" t="n"/>
      <c r="CH166" s="2" t="n"/>
      <c r="CI166" s="2" t="n"/>
      <c r="CJ166" s="2" t="n"/>
      <c r="CK166" s="2" t="n"/>
      <c r="CL166" s="2" t="n"/>
      <c r="CM166" s="2" t="n"/>
      <c r="CN166" s="2" t="n"/>
      <c r="CO166" s="2" t="n"/>
      <c r="CP166" s="2" t="n"/>
      <c r="CQ166" s="2" t="n"/>
      <c r="CR166" s="2" t="n"/>
      <c r="CS166" s="2" t="n"/>
      <c r="CT166" s="2" t="n"/>
      <c r="CU166" s="2" t="n"/>
      <c r="CV166" s="2" t="n"/>
      <c r="CW166" s="2" t="n"/>
      <c r="CX166" s="2" t="n"/>
      <c r="CY166" s="2" t="n"/>
      <c r="CZ166" s="2" t="n"/>
      <c r="DA166" s="2" t="n"/>
      <c r="DB166" s="2" t="n"/>
      <c r="DC166" s="2" t="n"/>
      <c r="DD166" s="2" t="n"/>
      <c r="DE166" s="2" t="n"/>
      <c r="DF166" s="2" t="n"/>
      <c r="DG166" s="2" t="n"/>
      <c r="DH166" s="2" t="n"/>
    </row>
    <row r="167" ht="12.75" customFormat="1" customHeight="1" s="76">
      <c r="A167" s="34" t="n"/>
      <c r="B167" s="62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  <c r="BA167" s="2" t="n"/>
      <c r="BB167" s="2" t="n"/>
      <c r="BC167" s="2" t="n"/>
      <c r="BD167" s="2" t="n"/>
      <c r="BE167" s="2" t="n"/>
      <c r="BF167" s="2" t="n"/>
      <c r="BG167" s="2" t="n"/>
      <c r="BH167" s="2" t="n"/>
      <c r="BI167" s="2" t="n"/>
      <c r="BJ167" s="2" t="n"/>
      <c r="BK167" s="2" t="n"/>
      <c r="BL167" s="2" t="n"/>
      <c r="BM167" s="2" t="n"/>
      <c r="BN167" s="2" t="n"/>
      <c r="BO167" s="2" t="n"/>
      <c r="BP167" s="2" t="n"/>
      <c r="BQ167" s="2" t="n"/>
      <c r="BR167" s="2" t="n"/>
      <c r="BS167" s="2" t="n"/>
      <c r="BT167" s="2" t="n"/>
      <c r="BU167" s="2" t="n"/>
      <c r="BV167" s="2" t="n"/>
      <c r="BW167" s="2" t="n"/>
      <c r="BX167" s="2" t="n"/>
      <c r="BY167" s="2" t="n"/>
      <c r="BZ167" s="2" t="n"/>
      <c r="CA167" s="2" t="n"/>
      <c r="CB167" s="2" t="n"/>
      <c r="CC167" s="2" t="n"/>
      <c r="CD167" s="2" t="n"/>
      <c r="CE167" s="2" t="n"/>
      <c r="CF167" s="2" t="n"/>
      <c r="CG167" s="2" t="n"/>
      <c r="CH167" s="2" t="n"/>
      <c r="CI167" s="2" t="n"/>
      <c r="CJ167" s="2" t="n"/>
      <c r="CK167" s="2" t="n"/>
      <c r="CL167" s="2" t="n"/>
      <c r="CM167" s="2" t="n"/>
      <c r="CN167" s="2" t="n"/>
      <c r="CO167" s="2" t="n"/>
      <c r="CP167" s="2" t="n"/>
      <c r="CQ167" s="2" t="n"/>
      <c r="CR167" s="2" t="n"/>
      <c r="CS167" s="2" t="n"/>
      <c r="CT167" s="2" t="n"/>
      <c r="CU167" s="2" t="n"/>
      <c r="CV167" s="2" t="n"/>
      <c r="CW167" s="2" t="n"/>
      <c r="CX167" s="2" t="n"/>
      <c r="CY167" s="2" t="n"/>
      <c r="CZ167" s="2" t="n"/>
      <c r="DA167" s="2" t="n"/>
      <c r="DB167" s="2" t="n"/>
      <c r="DC167" s="2" t="n"/>
      <c r="DD167" s="2" t="n"/>
      <c r="DE167" s="2" t="n"/>
      <c r="DF167" s="2" t="n"/>
      <c r="DG167" s="2" t="n"/>
      <c r="DH167" s="2" t="n"/>
    </row>
    <row r="168" ht="12.75" customFormat="1" customHeight="1" s="76">
      <c r="A168" s="34" t="n"/>
      <c r="B168" s="62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  <c r="BA168" s="2" t="n"/>
      <c r="BB168" s="2" t="n"/>
      <c r="BC168" s="2" t="n"/>
      <c r="BD168" s="2" t="n"/>
      <c r="BE168" s="2" t="n"/>
      <c r="BF168" s="2" t="n"/>
      <c r="BG168" s="2" t="n"/>
      <c r="BH168" s="2" t="n"/>
      <c r="BI168" s="2" t="n"/>
      <c r="BJ168" s="2" t="n"/>
      <c r="BK168" s="2" t="n"/>
      <c r="BL168" s="2" t="n"/>
      <c r="BM168" s="2" t="n"/>
      <c r="BN168" s="2" t="n"/>
      <c r="BO168" s="2" t="n"/>
      <c r="BP168" s="2" t="n"/>
      <c r="BQ168" s="2" t="n"/>
      <c r="BR168" s="2" t="n"/>
      <c r="BS168" s="2" t="n"/>
      <c r="BT168" s="2" t="n"/>
      <c r="BU168" s="2" t="n"/>
      <c r="BV168" s="2" t="n"/>
      <c r="BW168" s="2" t="n"/>
      <c r="BX168" s="2" t="n"/>
      <c r="BY168" s="2" t="n"/>
      <c r="BZ168" s="2" t="n"/>
      <c r="CA168" s="2" t="n"/>
      <c r="CB168" s="2" t="n"/>
      <c r="CC168" s="2" t="n"/>
      <c r="CD168" s="2" t="n"/>
      <c r="CE168" s="2" t="n"/>
      <c r="CF168" s="2" t="n"/>
      <c r="CG168" s="2" t="n"/>
      <c r="CH168" s="2" t="n"/>
      <c r="CI168" s="2" t="n"/>
      <c r="CJ168" s="2" t="n"/>
      <c r="CK168" s="2" t="n"/>
      <c r="CL168" s="2" t="n"/>
      <c r="CM168" s="2" t="n"/>
      <c r="CN168" s="2" t="n"/>
      <c r="CO168" s="2" t="n"/>
      <c r="CP168" s="2" t="n"/>
      <c r="CQ168" s="2" t="n"/>
      <c r="CR168" s="2" t="n"/>
      <c r="CS168" s="2" t="n"/>
      <c r="CT168" s="2" t="n"/>
      <c r="CU168" s="2" t="n"/>
      <c r="CV168" s="2" t="n"/>
      <c r="CW168" s="2" t="n"/>
      <c r="CX168" s="2" t="n"/>
      <c r="CY168" s="2" t="n"/>
      <c r="CZ168" s="2" t="n"/>
      <c r="DA168" s="2" t="n"/>
      <c r="DB168" s="2" t="n"/>
      <c r="DC168" s="2" t="n"/>
      <c r="DD168" s="2" t="n"/>
      <c r="DE168" s="2" t="n"/>
      <c r="DF168" s="2" t="n"/>
      <c r="DG168" s="2" t="n"/>
      <c r="DH168" s="2" t="n"/>
    </row>
    <row r="169" ht="12.75" customFormat="1" customHeight="1" s="76">
      <c r="A169" s="34" t="n"/>
      <c r="B169" s="62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</row>
    <row r="170" ht="12.75" customFormat="1" customHeight="1" s="76">
      <c r="A170" s="34" t="n"/>
      <c r="B170" s="62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  <c r="BA170" s="2" t="n"/>
      <c r="BB170" s="2" t="n"/>
      <c r="BC170" s="2" t="n"/>
      <c r="BD170" s="2" t="n"/>
      <c r="BE170" s="2" t="n"/>
      <c r="BF170" s="2" t="n"/>
      <c r="BG170" s="2" t="n"/>
      <c r="BH170" s="2" t="n"/>
      <c r="BI170" s="2" t="n"/>
      <c r="BJ170" s="2" t="n"/>
      <c r="BK170" s="2" t="n"/>
      <c r="BL170" s="2" t="n"/>
      <c r="BM170" s="2" t="n"/>
      <c r="BN170" s="2" t="n"/>
      <c r="BO170" s="2" t="n"/>
      <c r="BP170" s="2" t="n"/>
      <c r="BQ170" s="2" t="n"/>
      <c r="BR170" s="2" t="n"/>
      <c r="BS170" s="2" t="n"/>
      <c r="BT170" s="2" t="n"/>
      <c r="BU170" s="2" t="n"/>
      <c r="BV170" s="2" t="n"/>
      <c r="BW170" s="2" t="n"/>
      <c r="BX170" s="2" t="n"/>
      <c r="BY170" s="2" t="n"/>
      <c r="BZ170" s="2" t="n"/>
      <c r="CA170" s="2" t="n"/>
      <c r="CB170" s="2" t="n"/>
      <c r="CC170" s="2" t="n"/>
      <c r="CD170" s="2" t="n"/>
      <c r="CE170" s="2" t="n"/>
      <c r="CF170" s="2" t="n"/>
      <c r="CG170" s="2" t="n"/>
      <c r="CH170" s="2" t="n"/>
      <c r="CI170" s="2" t="n"/>
      <c r="CJ170" s="2" t="n"/>
      <c r="CK170" s="2" t="n"/>
      <c r="CL170" s="2" t="n"/>
      <c r="CM170" s="2" t="n"/>
      <c r="CN170" s="2" t="n"/>
      <c r="CO170" s="2" t="n"/>
      <c r="CP170" s="2" t="n"/>
      <c r="CQ170" s="2" t="n"/>
      <c r="CR170" s="2" t="n"/>
      <c r="CS170" s="2" t="n"/>
      <c r="CT170" s="2" t="n"/>
      <c r="CU170" s="2" t="n"/>
      <c r="CV170" s="2" t="n"/>
      <c r="CW170" s="2" t="n"/>
      <c r="CX170" s="2" t="n"/>
      <c r="CY170" s="2" t="n"/>
      <c r="CZ170" s="2" t="n"/>
      <c r="DA170" s="2" t="n"/>
      <c r="DB170" s="2" t="n"/>
      <c r="DC170" s="2" t="n"/>
      <c r="DD170" s="2" t="n"/>
      <c r="DE170" s="2" t="n"/>
      <c r="DF170" s="2" t="n"/>
      <c r="DG170" s="2" t="n"/>
      <c r="DH170" s="2" t="n"/>
    </row>
    <row r="171" ht="12.75" customFormat="1" customHeight="1" s="76">
      <c r="A171" s="34" t="n"/>
      <c r="B171" s="62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  <c r="BA171" s="2" t="n"/>
      <c r="BB171" s="2" t="n"/>
      <c r="BC171" s="2" t="n"/>
      <c r="BD171" s="2" t="n"/>
      <c r="BE171" s="2" t="n"/>
      <c r="BF171" s="2" t="n"/>
      <c r="BG171" s="2" t="n"/>
      <c r="BH171" s="2" t="n"/>
      <c r="BI171" s="2" t="n"/>
      <c r="BJ171" s="2" t="n"/>
      <c r="BK171" s="2" t="n"/>
      <c r="BL171" s="2" t="n"/>
      <c r="BM171" s="2" t="n"/>
      <c r="BN171" s="2" t="n"/>
      <c r="BO171" s="2" t="n"/>
      <c r="BP171" s="2" t="n"/>
      <c r="BQ171" s="2" t="n"/>
      <c r="BR171" s="2" t="n"/>
      <c r="BS171" s="2" t="n"/>
      <c r="BT171" s="2" t="n"/>
      <c r="BU171" s="2" t="n"/>
      <c r="BV171" s="2" t="n"/>
      <c r="BW171" s="2" t="n"/>
      <c r="BX171" s="2" t="n"/>
      <c r="BY171" s="2" t="n"/>
      <c r="BZ171" s="2" t="n"/>
      <c r="CA171" s="2" t="n"/>
      <c r="CB171" s="2" t="n"/>
      <c r="CC171" s="2" t="n"/>
      <c r="CD171" s="2" t="n"/>
      <c r="CE171" s="2" t="n"/>
      <c r="CF171" s="2" t="n"/>
      <c r="CG171" s="2" t="n"/>
      <c r="CH171" s="2" t="n"/>
      <c r="CI171" s="2" t="n"/>
      <c r="CJ171" s="2" t="n"/>
      <c r="CK171" s="2" t="n"/>
      <c r="CL171" s="2" t="n"/>
      <c r="CM171" s="2" t="n"/>
      <c r="CN171" s="2" t="n"/>
      <c r="CO171" s="2" t="n"/>
      <c r="CP171" s="2" t="n"/>
      <c r="CQ171" s="2" t="n"/>
      <c r="CR171" s="2" t="n"/>
      <c r="CS171" s="2" t="n"/>
      <c r="CT171" s="2" t="n"/>
      <c r="CU171" s="2" t="n"/>
      <c r="CV171" s="2" t="n"/>
      <c r="CW171" s="2" t="n"/>
      <c r="CX171" s="2" t="n"/>
      <c r="CY171" s="2" t="n"/>
      <c r="CZ171" s="2" t="n"/>
      <c r="DA171" s="2" t="n"/>
      <c r="DB171" s="2" t="n"/>
      <c r="DC171" s="2" t="n"/>
      <c r="DD171" s="2" t="n"/>
      <c r="DE171" s="2" t="n"/>
      <c r="DF171" s="2" t="n"/>
      <c r="DG171" s="2" t="n"/>
      <c r="DH171" s="2" t="n"/>
    </row>
    <row r="172" ht="12.75" customFormat="1" customHeight="1" s="76">
      <c r="A172" s="2" t="n"/>
      <c r="B172" s="62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  <c r="AV172" s="2" t="n"/>
      <c r="AW172" s="2" t="n"/>
      <c r="AX172" s="2" t="n"/>
      <c r="AY172" s="2" t="n"/>
      <c r="AZ172" s="2" t="n"/>
      <c r="BA172" s="2" t="n"/>
      <c r="BB172" s="2" t="n"/>
      <c r="BC172" s="2" t="n"/>
      <c r="BD172" s="2" t="n"/>
      <c r="BE172" s="2" t="n"/>
      <c r="BF172" s="2" t="n"/>
      <c r="BG172" s="2" t="n"/>
      <c r="BH172" s="2" t="n"/>
      <c r="BI172" s="2" t="n"/>
      <c r="BJ172" s="2" t="n"/>
      <c r="BK172" s="2" t="n"/>
      <c r="BL172" s="2" t="n"/>
      <c r="BM172" s="2" t="n"/>
      <c r="BN172" s="2" t="n"/>
      <c r="BO172" s="2" t="n"/>
      <c r="BP172" s="2" t="n"/>
      <c r="BQ172" s="2" t="n"/>
      <c r="BR172" s="2" t="n"/>
      <c r="BS172" s="2" t="n"/>
      <c r="BT172" s="2" t="n"/>
      <c r="BU172" s="2" t="n"/>
      <c r="BV172" s="2" t="n"/>
      <c r="BW172" s="2" t="n"/>
      <c r="BX172" s="2" t="n"/>
      <c r="BY172" s="2" t="n"/>
      <c r="BZ172" s="2" t="n"/>
      <c r="CA172" s="2" t="n"/>
      <c r="CB172" s="2" t="n"/>
      <c r="CC172" s="2" t="n"/>
      <c r="CD172" s="2" t="n"/>
      <c r="CE172" s="2" t="n"/>
      <c r="CF172" s="2" t="n"/>
      <c r="CG172" s="2" t="n"/>
      <c r="CH172" s="2" t="n"/>
      <c r="CI172" s="2" t="n"/>
      <c r="CJ172" s="2" t="n"/>
      <c r="CK172" s="2" t="n"/>
      <c r="CL172" s="2" t="n"/>
      <c r="CM172" s="2" t="n"/>
      <c r="CN172" s="2" t="n"/>
      <c r="CO172" s="2" t="n"/>
      <c r="CP172" s="2" t="n"/>
      <c r="CQ172" s="2" t="n"/>
      <c r="CR172" s="2" t="n"/>
      <c r="CS172" s="2" t="n"/>
      <c r="CT172" s="2" t="n"/>
      <c r="CU172" s="2" t="n"/>
      <c r="CV172" s="2" t="n"/>
      <c r="CW172" s="2" t="n"/>
      <c r="CX172" s="2" t="n"/>
      <c r="CY172" s="2" t="n"/>
      <c r="CZ172" s="2" t="n"/>
      <c r="DA172" s="2" t="n"/>
      <c r="DB172" s="2" t="n"/>
      <c r="DC172" s="2" t="n"/>
      <c r="DD172" s="2" t="n"/>
      <c r="DE172" s="2" t="n"/>
      <c r="DF172" s="2" t="n"/>
      <c r="DG172" s="2" t="n"/>
      <c r="DH172" s="2" t="n"/>
    </row>
    <row r="173" ht="12.75" customFormat="1" customHeight="1" s="76">
      <c r="A173" s="2" t="n"/>
      <c r="B173" s="62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  <c r="BN173" s="2" t="n"/>
      <c r="BO173" s="2" t="n"/>
      <c r="BP173" s="2" t="n"/>
      <c r="BQ173" s="2" t="n"/>
      <c r="BR173" s="2" t="n"/>
      <c r="BS173" s="2" t="n"/>
      <c r="BT173" s="2" t="n"/>
      <c r="BU173" s="2" t="n"/>
      <c r="BV173" s="2" t="n"/>
      <c r="BW173" s="2" t="n"/>
      <c r="BX173" s="2" t="n"/>
      <c r="BY173" s="2" t="n"/>
      <c r="BZ173" s="2" t="n"/>
      <c r="CA173" s="2" t="n"/>
      <c r="CB173" s="2" t="n"/>
      <c r="CC173" s="2" t="n"/>
      <c r="CD173" s="2" t="n"/>
      <c r="CE173" s="2" t="n"/>
      <c r="CF173" s="2" t="n"/>
      <c r="CG173" s="2" t="n"/>
      <c r="CH173" s="2" t="n"/>
      <c r="CI173" s="2" t="n"/>
      <c r="CJ173" s="2" t="n"/>
      <c r="CK173" s="2" t="n"/>
      <c r="CL173" s="2" t="n"/>
      <c r="CM173" s="2" t="n"/>
      <c r="CN173" s="2" t="n"/>
      <c r="CO173" s="2" t="n"/>
      <c r="CP173" s="2" t="n"/>
      <c r="CQ173" s="2" t="n"/>
      <c r="CR173" s="2" t="n"/>
      <c r="CS173" s="2" t="n"/>
      <c r="CT173" s="2" t="n"/>
      <c r="CU173" s="2" t="n"/>
      <c r="CV173" s="2" t="n"/>
      <c r="CW173" s="2" t="n"/>
      <c r="CX173" s="2" t="n"/>
      <c r="CY173" s="2" t="n"/>
      <c r="CZ173" s="2" t="n"/>
      <c r="DA173" s="2" t="n"/>
      <c r="DB173" s="2" t="n"/>
      <c r="DC173" s="2" t="n"/>
      <c r="DD173" s="2" t="n"/>
      <c r="DE173" s="2" t="n"/>
      <c r="DF173" s="2" t="n"/>
      <c r="DG173" s="2" t="n"/>
      <c r="DH173" s="2" t="n"/>
    </row>
    <row r="174" ht="12.75" customFormat="1" customHeight="1" s="76">
      <c r="A174" s="2" t="n"/>
      <c r="B174" s="62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  <c r="AV174" s="2" t="n"/>
      <c r="AW174" s="2" t="n"/>
      <c r="AX174" s="2" t="n"/>
      <c r="AY174" s="2" t="n"/>
      <c r="AZ174" s="2" t="n"/>
      <c r="BA174" s="2" t="n"/>
      <c r="BB174" s="2" t="n"/>
      <c r="BC174" s="2" t="n"/>
      <c r="BD174" s="2" t="n"/>
      <c r="BE174" s="2" t="n"/>
      <c r="BF174" s="2" t="n"/>
      <c r="BG174" s="2" t="n"/>
      <c r="BH174" s="2" t="n"/>
      <c r="BI174" s="2" t="n"/>
      <c r="BJ174" s="2" t="n"/>
      <c r="BK174" s="2" t="n"/>
      <c r="BL174" s="2" t="n"/>
      <c r="BM174" s="2" t="n"/>
      <c r="BN174" s="2" t="n"/>
      <c r="BO174" s="2" t="n"/>
      <c r="BP174" s="2" t="n"/>
      <c r="BQ174" s="2" t="n"/>
      <c r="BR174" s="2" t="n"/>
      <c r="BS174" s="2" t="n"/>
      <c r="BT174" s="2" t="n"/>
      <c r="BU174" s="2" t="n"/>
      <c r="BV174" s="2" t="n"/>
      <c r="BW174" s="2" t="n"/>
      <c r="BX174" s="2" t="n"/>
      <c r="BY174" s="2" t="n"/>
      <c r="BZ174" s="2" t="n"/>
      <c r="CA174" s="2" t="n"/>
      <c r="CB174" s="2" t="n"/>
      <c r="CC174" s="2" t="n"/>
      <c r="CD174" s="2" t="n"/>
      <c r="CE174" s="2" t="n"/>
      <c r="CF174" s="2" t="n"/>
      <c r="CG174" s="2" t="n"/>
      <c r="CH174" s="2" t="n"/>
      <c r="CI174" s="2" t="n"/>
      <c r="CJ174" s="2" t="n"/>
      <c r="CK174" s="2" t="n"/>
      <c r="CL174" s="2" t="n"/>
      <c r="CM174" s="2" t="n"/>
      <c r="CN174" s="2" t="n"/>
      <c r="CO174" s="2" t="n"/>
      <c r="CP174" s="2" t="n"/>
      <c r="CQ174" s="2" t="n"/>
      <c r="CR174" s="2" t="n"/>
      <c r="CS174" s="2" t="n"/>
      <c r="CT174" s="2" t="n"/>
      <c r="CU174" s="2" t="n"/>
      <c r="CV174" s="2" t="n"/>
      <c r="CW174" s="2" t="n"/>
      <c r="CX174" s="2" t="n"/>
      <c r="CY174" s="2" t="n"/>
      <c r="CZ174" s="2" t="n"/>
      <c r="DA174" s="2" t="n"/>
      <c r="DB174" s="2" t="n"/>
      <c r="DC174" s="2" t="n"/>
      <c r="DD174" s="2" t="n"/>
      <c r="DE174" s="2" t="n"/>
      <c r="DF174" s="2" t="n"/>
      <c r="DG174" s="2" t="n"/>
      <c r="DH174" s="2" t="n"/>
    </row>
    <row r="175" ht="12.75" customFormat="1" customHeight="1" s="76">
      <c r="A175" s="2" t="n"/>
      <c r="B175" s="62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  <c r="AV175" s="2" t="n"/>
      <c r="AW175" s="2" t="n"/>
      <c r="AX175" s="2" t="n"/>
      <c r="AY175" s="2" t="n"/>
      <c r="AZ175" s="2" t="n"/>
      <c r="BA175" s="2" t="n"/>
      <c r="BB175" s="2" t="n"/>
      <c r="BC175" s="2" t="n"/>
      <c r="BD175" s="2" t="n"/>
      <c r="BE175" s="2" t="n"/>
      <c r="BF175" s="2" t="n"/>
      <c r="BG175" s="2" t="n"/>
      <c r="BH175" s="2" t="n"/>
      <c r="BI175" s="2" t="n"/>
      <c r="BJ175" s="2" t="n"/>
      <c r="BK175" s="2" t="n"/>
      <c r="BL175" s="2" t="n"/>
      <c r="BM175" s="2" t="n"/>
      <c r="BN175" s="2" t="n"/>
      <c r="BO175" s="2" t="n"/>
      <c r="BP175" s="2" t="n"/>
      <c r="BQ175" s="2" t="n"/>
      <c r="BR175" s="2" t="n"/>
      <c r="BS175" s="2" t="n"/>
      <c r="BT175" s="2" t="n"/>
      <c r="BU175" s="2" t="n"/>
      <c r="BV175" s="2" t="n"/>
      <c r="BW175" s="2" t="n"/>
      <c r="BX175" s="2" t="n"/>
      <c r="BY175" s="2" t="n"/>
      <c r="BZ175" s="2" t="n"/>
      <c r="CA175" s="2" t="n"/>
      <c r="CB175" s="2" t="n"/>
      <c r="CC175" s="2" t="n"/>
      <c r="CD175" s="2" t="n"/>
      <c r="CE175" s="2" t="n"/>
      <c r="CF175" s="2" t="n"/>
      <c r="CG175" s="2" t="n"/>
      <c r="CH175" s="2" t="n"/>
      <c r="CI175" s="2" t="n"/>
      <c r="CJ175" s="2" t="n"/>
      <c r="CK175" s="2" t="n"/>
      <c r="CL175" s="2" t="n"/>
      <c r="CM175" s="2" t="n"/>
      <c r="CN175" s="2" t="n"/>
      <c r="CO175" s="2" t="n"/>
      <c r="CP175" s="2" t="n"/>
      <c r="CQ175" s="2" t="n"/>
      <c r="CR175" s="2" t="n"/>
      <c r="CS175" s="2" t="n"/>
      <c r="CT175" s="2" t="n"/>
      <c r="CU175" s="2" t="n"/>
      <c r="CV175" s="2" t="n"/>
      <c r="CW175" s="2" t="n"/>
      <c r="CX175" s="2" t="n"/>
      <c r="CY175" s="2" t="n"/>
      <c r="CZ175" s="2" t="n"/>
      <c r="DA175" s="2" t="n"/>
      <c r="DB175" s="2" t="n"/>
      <c r="DC175" s="2" t="n"/>
      <c r="DD175" s="2" t="n"/>
      <c r="DE175" s="2" t="n"/>
      <c r="DF175" s="2" t="n"/>
      <c r="DG175" s="2" t="n"/>
      <c r="DH175" s="2" t="n"/>
    </row>
    <row r="176" ht="12.75" customFormat="1" customHeight="1" s="76">
      <c r="A176" s="2" t="n"/>
      <c r="B176" s="62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/>
      <c r="DC176" s="2" t="n"/>
      <c r="DD176" s="2" t="n"/>
      <c r="DE176" s="2" t="n"/>
      <c r="DF176" s="2" t="n"/>
      <c r="DG176" s="2" t="n"/>
      <c r="DH176" s="2" t="n"/>
    </row>
    <row r="177" ht="12.75" customFormat="1" customHeight="1" s="76">
      <c r="A177" s="2" t="n"/>
      <c r="B177" s="62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  <c r="BA177" s="2" t="n"/>
      <c r="BB177" s="2" t="n"/>
      <c r="BC177" s="2" t="n"/>
      <c r="BD177" s="2" t="n"/>
      <c r="BE177" s="2" t="n"/>
      <c r="BF177" s="2" t="n"/>
      <c r="BG177" s="2" t="n"/>
      <c r="BH177" s="2" t="n"/>
      <c r="BI177" s="2" t="n"/>
      <c r="BJ177" s="2" t="n"/>
      <c r="BK177" s="2" t="n"/>
      <c r="BL177" s="2" t="n"/>
      <c r="BM177" s="2" t="n"/>
      <c r="BN177" s="2" t="n"/>
      <c r="BO177" s="2" t="n"/>
      <c r="BP177" s="2" t="n"/>
      <c r="BQ177" s="2" t="n"/>
      <c r="BR177" s="2" t="n"/>
      <c r="BS177" s="2" t="n"/>
      <c r="BT177" s="2" t="n"/>
      <c r="BU177" s="2" t="n"/>
      <c r="BV177" s="2" t="n"/>
      <c r="BW177" s="2" t="n"/>
      <c r="BX177" s="2" t="n"/>
      <c r="BY177" s="2" t="n"/>
      <c r="BZ177" s="2" t="n"/>
      <c r="CA177" s="2" t="n"/>
      <c r="CB177" s="2" t="n"/>
      <c r="CC177" s="2" t="n"/>
      <c r="CD177" s="2" t="n"/>
      <c r="CE177" s="2" t="n"/>
      <c r="CF177" s="2" t="n"/>
      <c r="CG177" s="2" t="n"/>
      <c r="CH177" s="2" t="n"/>
      <c r="CI177" s="2" t="n"/>
      <c r="CJ177" s="2" t="n"/>
      <c r="CK177" s="2" t="n"/>
      <c r="CL177" s="2" t="n"/>
      <c r="CM177" s="2" t="n"/>
      <c r="CN177" s="2" t="n"/>
      <c r="CO177" s="2" t="n"/>
      <c r="CP177" s="2" t="n"/>
      <c r="CQ177" s="2" t="n"/>
      <c r="CR177" s="2" t="n"/>
      <c r="CS177" s="2" t="n"/>
      <c r="CT177" s="2" t="n"/>
      <c r="CU177" s="2" t="n"/>
      <c r="CV177" s="2" t="n"/>
      <c r="CW177" s="2" t="n"/>
      <c r="CX177" s="2" t="n"/>
      <c r="CY177" s="2" t="n"/>
      <c r="CZ177" s="2" t="n"/>
      <c r="DA177" s="2" t="n"/>
      <c r="DB177" s="2" t="n"/>
      <c r="DC177" s="2" t="n"/>
      <c r="DD177" s="2" t="n"/>
      <c r="DE177" s="2" t="n"/>
      <c r="DF177" s="2" t="n"/>
      <c r="DG177" s="2" t="n"/>
      <c r="DH177" s="2" t="n"/>
    </row>
    <row r="178" ht="12.75" customFormat="1" customHeight="1" s="76">
      <c r="A178" s="2" t="n"/>
      <c r="B178" s="62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  <c r="BN178" s="2" t="n"/>
      <c r="BO178" s="2" t="n"/>
      <c r="BP178" s="2" t="n"/>
      <c r="BQ178" s="2" t="n"/>
      <c r="BR178" s="2" t="n"/>
      <c r="BS178" s="2" t="n"/>
      <c r="BT178" s="2" t="n"/>
      <c r="BU178" s="2" t="n"/>
      <c r="BV178" s="2" t="n"/>
      <c r="BW178" s="2" t="n"/>
      <c r="BX178" s="2" t="n"/>
      <c r="BY178" s="2" t="n"/>
      <c r="BZ178" s="2" t="n"/>
      <c r="CA178" s="2" t="n"/>
      <c r="CB178" s="2" t="n"/>
      <c r="CC178" s="2" t="n"/>
      <c r="CD178" s="2" t="n"/>
      <c r="CE178" s="2" t="n"/>
      <c r="CF178" s="2" t="n"/>
      <c r="CG178" s="2" t="n"/>
      <c r="CH178" s="2" t="n"/>
      <c r="CI178" s="2" t="n"/>
      <c r="CJ178" s="2" t="n"/>
      <c r="CK178" s="2" t="n"/>
      <c r="CL178" s="2" t="n"/>
      <c r="CM178" s="2" t="n"/>
      <c r="CN178" s="2" t="n"/>
      <c r="CO178" s="2" t="n"/>
      <c r="CP178" s="2" t="n"/>
      <c r="CQ178" s="2" t="n"/>
      <c r="CR178" s="2" t="n"/>
      <c r="CS178" s="2" t="n"/>
      <c r="CT178" s="2" t="n"/>
      <c r="CU178" s="2" t="n"/>
      <c r="CV178" s="2" t="n"/>
      <c r="CW178" s="2" t="n"/>
      <c r="CX178" s="2" t="n"/>
      <c r="CY178" s="2" t="n"/>
      <c r="CZ178" s="2" t="n"/>
      <c r="DA178" s="2" t="n"/>
      <c r="DB178" s="2" t="n"/>
      <c r="DC178" s="2" t="n"/>
      <c r="DD178" s="2" t="n"/>
      <c r="DE178" s="2" t="n"/>
      <c r="DF178" s="2" t="n"/>
      <c r="DG178" s="2" t="n"/>
      <c r="DH178" s="2" t="n"/>
    </row>
    <row r="179" ht="12.75" customFormat="1" customHeight="1" s="76">
      <c r="A179" s="2" t="n"/>
      <c r="B179" s="62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  <c r="BN179" s="2" t="n"/>
      <c r="BO179" s="2" t="n"/>
      <c r="BP179" s="2" t="n"/>
      <c r="BQ179" s="2" t="n"/>
      <c r="BR179" s="2" t="n"/>
      <c r="BS179" s="2" t="n"/>
      <c r="BT179" s="2" t="n"/>
      <c r="BU179" s="2" t="n"/>
      <c r="BV179" s="2" t="n"/>
      <c r="BW179" s="2" t="n"/>
      <c r="BX179" s="2" t="n"/>
      <c r="BY179" s="2" t="n"/>
      <c r="BZ179" s="2" t="n"/>
      <c r="CA179" s="2" t="n"/>
      <c r="CB179" s="2" t="n"/>
      <c r="CC179" s="2" t="n"/>
      <c r="CD179" s="2" t="n"/>
      <c r="CE179" s="2" t="n"/>
      <c r="CF179" s="2" t="n"/>
      <c r="CG179" s="2" t="n"/>
      <c r="CH179" s="2" t="n"/>
      <c r="CI179" s="2" t="n"/>
      <c r="CJ179" s="2" t="n"/>
      <c r="CK179" s="2" t="n"/>
      <c r="CL179" s="2" t="n"/>
      <c r="CM179" s="2" t="n"/>
      <c r="CN179" s="2" t="n"/>
      <c r="CO179" s="2" t="n"/>
      <c r="CP179" s="2" t="n"/>
      <c r="CQ179" s="2" t="n"/>
      <c r="CR179" s="2" t="n"/>
      <c r="CS179" s="2" t="n"/>
      <c r="CT179" s="2" t="n"/>
      <c r="CU179" s="2" t="n"/>
      <c r="CV179" s="2" t="n"/>
      <c r="CW179" s="2" t="n"/>
      <c r="CX179" s="2" t="n"/>
      <c r="CY179" s="2" t="n"/>
      <c r="CZ179" s="2" t="n"/>
      <c r="DA179" s="2" t="n"/>
      <c r="DB179" s="2" t="n"/>
      <c r="DC179" s="2" t="n"/>
      <c r="DD179" s="2" t="n"/>
      <c r="DE179" s="2" t="n"/>
      <c r="DF179" s="2" t="n"/>
      <c r="DG179" s="2" t="n"/>
      <c r="DH179" s="2" t="n"/>
    </row>
    <row r="180" ht="12.75" customFormat="1" customHeight="1" s="76">
      <c r="A180" s="2" t="n"/>
      <c r="B180" s="62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  <c r="AV180" s="2" t="n"/>
      <c r="AW180" s="2" t="n"/>
      <c r="AX180" s="2" t="n"/>
      <c r="AY180" s="2" t="n"/>
      <c r="AZ180" s="2" t="n"/>
      <c r="BA180" s="2" t="n"/>
      <c r="BB180" s="2" t="n"/>
      <c r="BC180" s="2" t="n"/>
      <c r="BD180" s="2" t="n"/>
      <c r="BE180" s="2" t="n"/>
      <c r="BF180" s="2" t="n"/>
      <c r="BG180" s="2" t="n"/>
      <c r="BH180" s="2" t="n"/>
      <c r="BI180" s="2" t="n"/>
      <c r="BJ180" s="2" t="n"/>
      <c r="BK180" s="2" t="n"/>
      <c r="BL180" s="2" t="n"/>
      <c r="BM180" s="2" t="n"/>
      <c r="BN180" s="2" t="n"/>
      <c r="BO180" s="2" t="n"/>
      <c r="BP180" s="2" t="n"/>
      <c r="BQ180" s="2" t="n"/>
      <c r="BR180" s="2" t="n"/>
      <c r="BS180" s="2" t="n"/>
      <c r="BT180" s="2" t="n"/>
      <c r="BU180" s="2" t="n"/>
      <c r="BV180" s="2" t="n"/>
      <c r="BW180" s="2" t="n"/>
      <c r="BX180" s="2" t="n"/>
      <c r="BY180" s="2" t="n"/>
      <c r="BZ180" s="2" t="n"/>
      <c r="CA180" s="2" t="n"/>
      <c r="CB180" s="2" t="n"/>
      <c r="CC180" s="2" t="n"/>
      <c r="CD180" s="2" t="n"/>
      <c r="CE180" s="2" t="n"/>
      <c r="CF180" s="2" t="n"/>
      <c r="CG180" s="2" t="n"/>
      <c r="CH180" s="2" t="n"/>
      <c r="CI180" s="2" t="n"/>
      <c r="CJ180" s="2" t="n"/>
      <c r="CK180" s="2" t="n"/>
      <c r="CL180" s="2" t="n"/>
      <c r="CM180" s="2" t="n"/>
      <c r="CN180" s="2" t="n"/>
      <c r="CO180" s="2" t="n"/>
      <c r="CP180" s="2" t="n"/>
      <c r="CQ180" s="2" t="n"/>
      <c r="CR180" s="2" t="n"/>
      <c r="CS180" s="2" t="n"/>
      <c r="CT180" s="2" t="n"/>
      <c r="CU180" s="2" t="n"/>
      <c r="CV180" s="2" t="n"/>
      <c r="CW180" s="2" t="n"/>
      <c r="CX180" s="2" t="n"/>
      <c r="CY180" s="2" t="n"/>
      <c r="CZ180" s="2" t="n"/>
      <c r="DA180" s="2" t="n"/>
      <c r="DB180" s="2" t="n"/>
      <c r="DC180" s="2" t="n"/>
      <c r="DD180" s="2" t="n"/>
      <c r="DE180" s="2" t="n"/>
      <c r="DF180" s="2" t="n"/>
      <c r="DG180" s="2" t="n"/>
      <c r="DH180" s="2" t="n"/>
    </row>
    <row r="181" ht="12.75" customFormat="1" customHeight="1" s="76">
      <c r="A181" s="2" t="n"/>
      <c r="B181" s="62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/>
      <c r="BB181" s="2" t="n"/>
      <c r="BC181" s="2" t="n"/>
      <c r="BD181" s="2" t="n"/>
      <c r="BE181" s="2" t="n"/>
      <c r="BF181" s="2" t="n"/>
      <c r="BG181" s="2" t="n"/>
      <c r="BH181" s="2" t="n"/>
      <c r="BI181" s="2" t="n"/>
      <c r="BJ181" s="2" t="n"/>
      <c r="BK181" s="2" t="n"/>
      <c r="BL181" s="2" t="n"/>
      <c r="BM181" s="2" t="n"/>
      <c r="BN181" s="2" t="n"/>
      <c r="BO181" s="2" t="n"/>
      <c r="BP181" s="2" t="n"/>
      <c r="BQ181" s="2" t="n"/>
      <c r="BR181" s="2" t="n"/>
      <c r="BS181" s="2" t="n"/>
      <c r="BT181" s="2" t="n"/>
      <c r="BU181" s="2" t="n"/>
      <c r="BV181" s="2" t="n"/>
      <c r="BW181" s="2" t="n"/>
      <c r="BX181" s="2" t="n"/>
      <c r="BY181" s="2" t="n"/>
      <c r="BZ181" s="2" t="n"/>
      <c r="CA181" s="2" t="n"/>
      <c r="CB181" s="2" t="n"/>
      <c r="CC181" s="2" t="n"/>
      <c r="CD181" s="2" t="n"/>
      <c r="CE181" s="2" t="n"/>
      <c r="CF181" s="2" t="n"/>
      <c r="CG181" s="2" t="n"/>
      <c r="CH181" s="2" t="n"/>
      <c r="CI181" s="2" t="n"/>
      <c r="CJ181" s="2" t="n"/>
      <c r="CK181" s="2" t="n"/>
      <c r="CL181" s="2" t="n"/>
      <c r="CM181" s="2" t="n"/>
      <c r="CN181" s="2" t="n"/>
      <c r="CO181" s="2" t="n"/>
      <c r="CP181" s="2" t="n"/>
      <c r="CQ181" s="2" t="n"/>
      <c r="CR181" s="2" t="n"/>
      <c r="CS181" s="2" t="n"/>
      <c r="CT181" s="2" t="n"/>
      <c r="CU181" s="2" t="n"/>
      <c r="CV181" s="2" t="n"/>
      <c r="CW181" s="2" t="n"/>
      <c r="CX181" s="2" t="n"/>
      <c r="CY181" s="2" t="n"/>
      <c r="CZ181" s="2" t="n"/>
      <c r="DA181" s="2" t="n"/>
      <c r="DB181" s="2" t="n"/>
      <c r="DC181" s="2" t="n"/>
      <c r="DD181" s="2" t="n"/>
      <c r="DE181" s="2" t="n"/>
      <c r="DF181" s="2" t="n"/>
      <c r="DG181" s="2" t="n"/>
      <c r="DH181" s="2" t="n"/>
    </row>
    <row r="182" ht="12.75" customFormat="1" customHeight="1" s="76">
      <c r="A182" s="2" t="n"/>
      <c r="B182" s="62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/>
      <c r="DE182" s="2" t="n"/>
      <c r="DF182" s="2" t="n"/>
      <c r="DG182" s="2" t="n"/>
      <c r="DH182" s="2" t="n"/>
    </row>
    <row r="183" ht="12.75" customFormat="1" customHeight="1" s="76">
      <c r="A183" s="2" t="n"/>
      <c r="B183" s="62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  <c r="AV183" s="2" t="n"/>
      <c r="AW183" s="2" t="n"/>
      <c r="AX183" s="2" t="n"/>
      <c r="AY183" s="2" t="n"/>
      <c r="AZ183" s="2" t="n"/>
      <c r="BA183" s="2" t="n"/>
      <c r="BB183" s="2" t="n"/>
      <c r="BC183" s="2" t="n"/>
      <c r="BD183" s="2" t="n"/>
      <c r="BE183" s="2" t="n"/>
      <c r="BF183" s="2" t="n"/>
      <c r="BG183" s="2" t="n"/>
      <c r="BH183" s="2" t="n"/>
      <c r="BI183" s="2" t="n"/>
      <c r="BJ183" s="2" t="n"/>
      <c r="BK183" s="2" t="n"/>
      <c r="BL183" s="2" t="n"/>
      <c r="BM183" s="2" t="n"/>
      <c r="BN183" s="2" t="n"/>
      <c r="BO183" s="2" t="n"/>
      <c r="BP183" s="2" t="n"/>
      <c r="BQ183" s="2" t="n"/>
      <c r="BR183" s="2" t="n"/>
      <c r="BS183" s="2" t="n"/>
      <c r="BT183" s="2" t="n"/>
      <c r="BU183" s="2" t="n"/>
      <c r="BV183" s="2" t="n"/>
      <c r="BW183" s="2" t="n"/>
      <c r="BX183" s="2" t="n"/>
      <c r="BY183" s="2" t="n"/>
      <c r="BZ183" s="2" t="n"/>
      <c r="CA183" s="2" t="n"/>
      <c r="CB183" s="2" t="n"/>
      <c r="CC183" s="2" t="n"/>
      <c r="CD183" s="2" t="n"/>
      <c r="CE183" s="2" t="n"/>
      <c r="CF183" s="2" t="n"/>
      <c r="CG183" s="2" t="n"/>
      <c r="CH183" s="2" t="n"/>
      <c r="CI183" s="2" t="n"/>
      <c r="CJ183" s="2" t="n"/>
      <c r="CK183" s="2" t="n"/>
      <c r="CL183" s="2" t="n"/>
      <c r="CM183" s="2" t="n"/>
      <c r="CN183" s="2" t="n"/>
      <c r="CO183" s="2" t="n"/>
      <c r="CP183" s="2" t="n"/>
      <c r="CQ183" s="2" t="n"/>
      <c r="CR183" s="2" t="n"/>
      <c r="CS183" s="2" t="n"/>
      <c r="CT183" s="2" t="n"/>
      <c r="CU183" s="2" t="n"/>
      <c r="CV183" s="2" t="n"/>
      <c r="CW183" s="2" t="n"/>
      <c r="CX183" s="2" t="n"/>
      <c r="CY183" s="2" t="n"/>
      <c r="CZ183" s="2" t="n"/>
      <c r="DA183" s="2" t="n"/>
      <c r="DB183" s="2" t="n"/>
      <c r="DC183" s="2" t="n"/>
      <c r="DD183" s="2" t="n"/>
      <c r="DE183" s="2" t="n"/>
      <c r="DF183" s="2" t="n"/>
      <c r="DG183" s="2" t="n"/>
      <c r="DH183" s="2" t="n"/>
    </row>
    <row r="184" ht="12.75" customFormat="1" customHeight="1" s="76">
      <c r="A184" s="2" t="n"/>
      <c r="B184" s="62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  <c r="AV184" s="2" t="n"/>
      <c r="AW184" s="2" t="n"/>
      <c r="AX184" s="2" t="n"/>
      <c r="AY184" s="2" t="n"/>
      <c r="AZ184" s="2" t="n"/>
      <c r="BA184" s="2" t="n"/>
      <c r="BB184" s="2" t="n"/>
      <c r="BC184" s="2" t="n"/>
      <c r="BD184" s="2" t="n"/>
      <c r="BE184" s="2" t="n"/>
      <c r="BF184" s="2" t="n"/>
      <c r="BG184" s="2" t="n"/>
      <c r="BH184" s="2" t="n"/>
      <c r="BI184" s="2" t="n"/>
      <c r="BJ184" s="2" t="n"/>
      <c r="BK184" s="2" t="n"/>
      <c r="BL184" s="2" t="n"/>
      <c r="BM184" s="2" t="n"/>
      <c r="BN184" s="2" t="n"/>
      <c r="BO184" s="2" t="n"/>
      <c r="BP184" s="2" t="n"/>
      <c r="BQ184" s="2" t="n"/>
      <c r="BR184" s="2" t="n"/>
      <c r="BS184" s="2" t="n"/>
      <c r="BT184" s="2" t="n"/>
      <c r="BU184" s="2" t="n"/>
      <c r="BV184" s="2" t="n"/>
      <c r="BW184" s="2" t="n"/>
      <c r="BX184" s="2" t="n"/>
      <c r="BY184" s="2" t="n"/>
      <c r="BZ184" s="2" t="n"/>
      <c r="CA184" s="2" t="n"/>
      <c r="CB184" s="2" t="n"/>
      <c r="CC184" s="2" t="n"/>
      <c r="CD184" s="2" t="n"/>
      <c r="CE184" s="2" t="n"/>
      <c r="CF184" s="2" t="n"/>
      <c r="CG184" s="2" t="n"/>
      <c r="CH184" s="2" t="n"/>
      <c r="CI184" s="2" t="n"/>
      <c r="CJ184" s="2" t="n"/>
      <c r="CK184" s="2" t="n"/>
      <c r="CL184" s="2" t="n"/>
      <c r="CM184" s="2" t="n"/>
      <c r="CN184" s="2" t="n"/>
      <c r="CO184" s="2" t="n"/>
      <c r="CP184" s="2" t="n"/>
      <c r="CQ184" s="2" t="n"/>
      <c r="CR184" s="2" t="n"/>
      <c r="CS184" s="2" t="n"/>
      <c r="CT184" s="2" t="n"/>
      <c r="CU184" s="2" t="n"/>
      <c r="CV184" s="2" t="n"/>
      <c r="CW184" s="2" t="n"/>
      <c r="CX184" s="2" t="n"/>
      <c r="CY184" s="2" t="n"/>
      <c r="CZ184" s="2" t="n"/>
      <c r="DA184" s="2" t="n"/>
      <c r="DB184" s="2" t="n"/>
      <c r="DC184" s="2" t="n"/>
      <c r="DD184" s="2" t="n"/>
      <c r="DE184" s="2" t="n"/>
      <c r="DF184" s="2" t="n"/>
      <c r="DG184" s="2" t="n"/>
      <c r="DH184" s="2" t="n"/>
    </row>
    <row r="185" ht="12.75" customFormat="1" customHeight="1" s="76">
      <c r="A185" s="2" t="n"/>
      <c r="B185" s="62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  <c r="AV185" s="2" t="n"/>
      <c r="AW185" s="2" t="n"/>
      <c r="AX185" s="2" t="n"/>
      <c r="AY185" s="2" t="n"/>
      <c r="AZ185" s="2" t="n"/>
      <c r="BA185" s="2" t="n"/>
      <c r="BB185" s="2" t="n"/>
      <c r="BC185" s="2" t="n"/>
      <c r="BD185" s="2" t="n"/>
      <c r="BE185" s="2" t="n"/>
      <c r="BF185" s="2" t="n"/>
      <c r="BG185" s="2" t="n"/>
      <c r="BH185" s="2" t="n"/>
      <c r="BI185" s="2" t="n"/>
      <c r="BJ185" s="2" t="n"/>
      <c r="BK185" s="2" t="n"/>
      <c r="BL185" s="2" t="n"/>
      <c r="BM185" s="2" t="n"/>
      <c r="BN185" s="2" t="n"/>
      <c r="BO185" s="2" t="n"/>
      <c r="BP185" s="2" t="n"/>
      <c r="BQ185" s="2" t="n"/>
      <c r="BR185" s="2" t="n"/>
      <c r="BS185" s="2" t="n"/>
      <c r="BT185" s="2" t="n"/>
      <c r="BU185" s="2" t="n"/>
      <c r="BV185" s="2" t="n"/>
      <c r="BW185" s="2" t="n"/>
      <c r="BX185" s="2" t="n"/>
      <c r="BY185" s="2" t="n"/>
      <c r="BZ185" s="2" t="n"/>
      <c r="CA185" s="2" t="n"/>
      <c r="CB185" s="2" t="n"/>
      <c r="CC185" s="2" t="n"/>
      <c r="CD185" s="2" t="n"/>
      <c r="CE185" s="2" t="n"/>
      <c r="CF185" s="2" t="n"/>
      <c r="CG185" s="2" t="n"/>
      <c r="CH185" s="2" t="n"/>
      <c r="CI185" s="2" t="n"/>
      <c r="CJ185" s="2" t="n"/>
      <c r="CK185" s="2" t="n"/>
      <c r="CL185" s="2" t="n"/>
      <c r="CM185" s="2" t="n"/>
      <c r="CN185" s="2" t="n"/>
      <c r="CO185" s="2" t="n"/>
      <c r="CP185" s="2" t="n"/>
      <c r="CQ185" s="2" t="n"/>
      <c r="CR185" s="2" t="n"/>
      <c r="CS185" s="2" t="n"/>
      <c r="CT185" s="2" t="n"/>
      <c r="CU185" s="2" t="n"/>
      <c r="CV185" s="2" t="n"/>
      <c r="CW185" s="2" t="n"/>
      <c r="CX185" s="2" t="n"/>
      <c r="CY185" s="2" t="n"/>
      <c r="CZ185" s="2" t="n"/>
      <c r="DA185" s="2" t="n"/>
      <c r="DB185" s="2" t="n"/>
      <c r="DC185" s="2" t="n"/>
      <c r="DD185" s="2" t="n"/>
      <c r="DE185" s="2" t="n"/>
      <c r="DF185" s="2" t="n"/>
      <c r="DG185" s="2" t="n"/>
      <c r="DH185" s="2" t="n"/>
    </row>
    <row r="186" ht="12.75" customFormat="1" customHeight="1" s="76">
      <c r="A186" s="2" t="n"/>
      <c r="B186" s="62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  <c r="AV186" s="2" t="n"/>
      <c r="AW186" s="2" t="n"/>
      <c r="AX186" s="2" t="n"/>
      <c r="AY186" s="2" t="n"/>
      <c r="AZ186" s="2" t="n"/>
      <c r="BA186" s="2" t="n"/>
      <c r="BB186" s="2" t="n"/>
      <c r="BC186" s="2" t="n"/>
      <c r="BD186" s="2" t="n"/>
      <c r="BE186" s="2" t="n"/>
      <c r="BF186" s="2" t="n"/>
      <c r="BG186" s="2" t="n"/>
      <c r="BH186" s="2" t="n"/>
      <c r="BI186" s="2" t="n"/>
      <c r="BJ186" s="2" t="n"/>
      <c r="BK186" s="2" t="n"/>
      <c r="BL186" s="2" t="n"/>
      <c r="BM186" s="2" t="n"/>
      <c r="BN186" s="2" t="n"/>
      <c r="BO186" s="2" t="n"/>
      <c r="BP186" s="2" t="n"/>
      <c r="BQ186" s="2" t="n"/>
      <c r="BR186" s="2" t="n"/>
      <c r="BS186" s="2" t="n"/>
      <c r="BT186" s="2" t="n"/>
      <c r="BU186" s="2" t="n"/>
      <c r="BV186" s="2" t="n"/>
      <c r="BW186" s="2" t="n"/>
      <c r="BX186" s="2" t="n"/>
      <c r="BY186" s="2" t="n"/>
      <c r="BZ186" s="2" t="n"/>
      <c r="CA186" s="2" t="n"/>
      <c r="CB186" s="2" t="n"/>
      <c r="CC186" s="2" t="n"/>
      <c r="CD186" s="2" t="n"/>
      <c r="CE186" s="2" t="n"/>
      <c r="CF186" s="2" t="n"/>
      <c r="CG186" s="2" t="n"/>
      <c r="CH186" s="2" t="n"/>
      <c r="CI186" s="2" t="n"/>
      <c r="CJ186" s="2" t="n"/>
      <c r="CK186" s="2" t="n"/>
      <c r="CL186" s="2" t="n"/>
      <c r="CM186" s="2" t="n"/>
      <c r="CN186" s="2" t="n"/>
      <c r="CO186" s="2" t="n"/>
      <c r="CP186" s="2" t="n"/>
      <c r="CQ186" s="2" t="n"/>
      <c r="CR186" s="2" t="n"/>
      <c r="CS186" s="2" t="n"/>
      <c r="CT186" s="2" t="n"/>
      <c r="CU186" s="2" t="n"/>
      <c r="CV186" s="2" t="n"/>
      <c r="CW186" s="2" t="n"/>
      <c r="CX186" s="2" t="n"/>
      <c r="CY186" s="2" t="n"/>
      <c r="CZ186" s="2" t="n"/>
      <c r="DA186" s="2" t="n"/>
      <c r="DB186" s="2" t="n"/>
      <c r="DC186" s="2" t="n"/>
      <c r="DD186" s="2" t="n"/>
      <c r="DE186" s="2" t="n"/>
      <c r="DF186" s="2" t="n"/>
      <c r="DG186" s="2" t="n"/>
      <c r="DH186" s="2" t="n"/>
    </row>
    <row r="187" ht="12.75" customFormat="1" customHeight="1" s="76">
      <c r="A187" s="2" t="n"/>
      <c r="B187" s="62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/>
      <c r="BB187" s="2" t="n"/>
      <c r="BC187" s="2" t="n"/>
      <c r="BD187" s="2" t="n"/>
      <c r="BE187" s="2" t="n"/>
      <c r="BF187" s="2" t="n"/>
      <c r="BG187" s="2" t="n"/>
      <c r="BH187" s="2" t="n"/>
      <c r="BI187" s="2" t="n"/>
      <c r="BJ187" s="2" t="n"/>
      <c r="BK187" s="2" t="n"/>
      <c r="BL187" s="2" t="n"/>
      <c r="BM187" s="2" t="n"/>
      <c r="BN187" s="2" t="n"/>
      <c r="BO187" s="2" t="n"/>
      <c r="BP187" s="2" t="n"/>
      <c r="BQ187" s="2" t="n"/>
      <c r="BR187" s="2" t="n"/>
      <c r="BS187" s="2" t="n"/>
      <c r="BT187" s="2" t="n"/>
      <c r="BU187" s="2" t="n"/>
      <c r="BV187" s="2" t="n"/>
      <c r="BW187" s="2" t="n"/>
      <c r="BX187" s="2" t="n"/>
      <c r="BY187" s="2" t="n"/>
      <c r="BZ187" s="2" t="n"/>
      <c r="CA187" s="2" t="n"/>
      <c r="CB187" s="2" t="n"/>
      <c r="CC187" s="2" t="n"/>
      <c r="CD187" s="2" t="n"/>
      <c r="CE187" s="2" t="n"/>
      <c r="CF187" s="2" t="n"/>
      <c r="CG187" s="2" t="n"/>
      <c r="CH187" s="2" t="n"/>
      <c r="CI187" s="2" t="n"/>
      <c r="CJ187" s="2" t="n"/>
      <c r="CK187" s="2" t="n"/>
      <c r="CL187" s="2" t="n"/>
      <c r="CM187" s="2" t="n"/>
      <c r="CN187" s="2" t="n"/>
      <c r="CO187" s="2" t="n"/>
      <c r="CP187" s="2" t="n"/>
      <c r="CQ187" s="2" t="n"/>
      <c r="CR187" s="2" t="n"/>
      <c r="CS187" s="2" t="n"/>
      <c r="CT187" s="2" t="n"/>
      <c r="CU187" s="2" t="n"/>
      <c r="CV187" s="2" t="n"/>
      <c r="CW187" s="2" t="n"/>
      <c r="CX187" s="2" t="n"/>
      <c r="CY187" s="2" t="n"/>
      <c r="CZ187" s="2" t="n"/>
      <c r="DA187" s="2" t="n"/>
      <c r="DB187" s="2" t="n"/>
      <c r="DC187" s="2" t="n"/>
      <c r="DD187" s="2" t="n"/>
      <c r="DE187" s="2" t="n"/>
      <c r="DF187" s="2" t="n"/>
      <c r="DG187" s="2" t="n"/>
      <c r="DH187" s="2" t="n"/>
    </row>
    <row r="188" ht="12.75" customFormat="1" customHeight="1" s="76">
      <c r="A188" s="2" t="n"/>
      <c r="B188" s="62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  <c r="AV188" s="2" t="n"/>
      <c r="AW188" s="2" t="n"/>
      <c r="AX188" s="2" t="n"/>
      <c r="AY188" s="2" t="n"/>
      <c r="AZ188" s="2" t="n"/>
      <c r="BA188" s="2" t="n"/>
      <c r="BB188" s="2" t="n"/>
      <c r="BC188" s="2" t="n"/>
      <c r="BD188" s="2" t="n"/>
      <c r="BE188" s="2" t="n"/>
      <c r="BF188" s="2" t="n"/>
      <c r="BG188" s="2" t="n"/>
      <c r="BH188" s="2" t="n"/>
      <c r="BI188" s="2" t="n"/>
      <c r="BJ188" s="2" t="n"/>
      <c r="BK188" s="2" t="n"/>
      <c r="BL188" s="2" t="n"/>
      <c r="BM188" s="2" t="n"/>
      <c r="BN188" s="2" t="n"/>
      <c r="BO188" s="2" t="n"/>
      <c r="BP188" s="2" t="n"/>
      <c r="BQ188" s="2" t="n"/>
      <c r="BR188" s="2" t="n"/>
      <c r="BS188" s="2" t="n"/>
      <c r="BT188" s="2" t="n"/>
      <c r="BU188" s="2" t="n"/>
      <c r="BV188" s="2" t="n"/>
      <c r="BW188" s="2" t="n"/>
      <c r="BX188" s="2" t="n"/>
      <c r="BY188" s="2" t="n"/>
      <c r="BZ188" s="2" t="n"/>
      <c r="CA188" s="2" t="n"/>
      <c r="CB188" s="2" t="n"/>
      <c r="CC188" s="2" t="n"/>
      <c r="CD188" s="2" t="n"/>
      <c r="CE188" s="2" t="n"/>
      <c r="CF188" s="2" t="n"/>
      <c r="CG188" s="2" t="n"/>
      <c r="CH188" s="2" t="n"/>
      <c r="CI188" s="2" t="n"/>
      <c r="CJ188" s="2" t="n"/>
      <c r="CK188" s="2" t="n"/>
      <c r="CL188" s="2" t="n"/>
      <c r="CM188" s="2" t="n"/>
      <c r="CN188" s="2" t="n"/>
      <c r="CO188" s="2" t="n"/>
      <c r="CP188" s="2" t="n"/>
      <c r="CQ188" s="2" t="n"/>
      <c r="CR188" s="2" t="n"/>
      <c r="CS188" s="2" t="n"/>
      <c r="CT188" s="2" t="n"/>
      <c r="CU188" s="2" t="n"/>
      <c r="CV188" s="2" t="n"/>
      <c r="CW188" s="2" t="n"/>
      <c r="CX188" s="2" t="n"/>
      <c r="CY188" s="2" t="n"/>
      <c r="CZ188" s="2" t="n"/>
      <c r="DA188" s="2" t="n"/>
      <c r="DB188" s="2" t="n"/>
      <c r="DC188" s="2" t="n"/>
      <c r="DD188" s="2" t="n"/>
      <c r="DE188" s="2" t="n"/>
      <c r="DF188" s="2" t="n"/>
      <c r="DG188" s="2" t="n"/>
      <c r="DH188" s="2" t="n"/>
    </row>
    <row r="189" ht="12.75" customFormat="1" customHeight="1" s="76">
      <c r="A189" s="2" t="n"/>
      <c r="B189" s="62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  <c r="AV189" s="2" t="n"/>
      <c r="AW189" s="2" t="n"/>
      <c r="AX189" s="2" t="n"/>
      <c r="AY189" s="2" t="n"/>
      <c r="AZ189" s="2" t="n"/>
      <c r="BA189" s="2" t="n"/>
      <c r="BB189" s="2" t="n"/>
      <c r="BC189" s="2" t="n"/>
      <c r="BD189" s="2" t="n"/>
      <c r="BE189" s="2" t="n"/>
      <c r="BF189" s="2" t="n"/>
      <c r="BG189" s="2" t="n"/>
      <c r="BH189" s="2" t="n"/>
      <c r="BI189" s="2" t="n"/>
      <c r="BJ189" s="2" t="n"/>
      <c r="BK189" s="2" t="n"/>
      <c r="BL189" s="2" t="n"/>
      <c r="BM189" s="2" t="n"/>
      <c r="BN189" s="2" t="n"/>
      <c r="BO189" s="2" t="n"/>
      <c r="BP189" s="2" t="n"/>
      <c r="BQ189" s="2" t="n"/>
      <c r="BR189" s="2" t="n"/>
      <c r="BS189" s="2" t="n"/>
      <c r="BT189" s="2" t="n"/>
      <c r="BU189" s="2" t="n"/>
      <c r="BV189" s="2" t="n"/>
      <c r="BW189" s="2" t="n"/>
      <c r="BX189" s="2" t="n"/>
      <c r="BY189" s="2" t="n"/>
      <c r="BZ189" s="2" t="n"/>
      <c r="CA189" s="2" t="n"/>
      <c r="CB189" s="2" t="n"/>
      <c r="CC189" s="2" t="n"/>
      <c r="CD189" s="2" t="n"/>
      <c r="CE189" s="2" t="n"/>
      <c r="CF189" s="2" t="n"/>
      <c r="CG189" s="2" t="n"/>
      <c r="CH189" s="2" t="n"/>
      <c r="CI189" s="2" t="n"/>
      <c r="CJ189" s="2" t="n"/>
      <c r="CK189" s="2" t="n"/>
      <c r="CL189" s="2" t="n"/>
      <c r="CM189" s="2" t="n"/>
      <c r="CN189" s="2" t="n"/>
      <c r="CO189" s="2" t="n"/>
      <c r="CP189" s="2" t="n"/>
      <c r="CQ189" s="2" t="n"/>
      <c r="CR189" s="2" t="n"/>
      <c r="CS189" s="2" t="n"/>
      <c r="CT189" s="2" t="n"/>
      <c r="CU189" s="2" t="n"/>
      <c r="CV189" s="2" t="n"/>
      <c r="CW189" s="2" t="n"/>
      <c r="CX189" s="2" t="n"/>
      <c r="CY189" s="2" t="n"/>
      <c r="CZ189" s="2" t="n"/>
      <c r="DA189" s="2" t="n"/>
      <c r="DB189" s="2" t="n"/>
      <c r="DC189" s="2" t="n"/>
      <c r="DD189" s="2" t="n"/>
      <c r="DE189" s="2" t="n"/>
      <c r="DF189" s="2" t="n"/>
      <c r="DG189" s="2" t="n"/>
      <c r="DH189" s="2" t="n"/>
    </row>
    <row r="190" ht="12.75" customFormat="1" customHeight="1" s="76">
      <c r="A190" s="2" t="n"/>
      <c r="B190" s="62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  <c r="AV190" s="2" t="n"/>
      <c r="AW190" s="2" t="n"/>
      <c r="AX190" s="2" t="n"/>
      <c r="AY190" s="2" t="n"/>
      <c r="AZ190" s="2" t="n"/>
      <c r="BA190" s="2" t="n"/>
      <c r="BB190" s="2" t="n"/>
      <c r="BC190" s="2" t="n"/>
      <c r="BD190" s="2" t="n"/>
      <c r="BE190" s="2" t="n"/>
      <c r="BF190" s="2" t="n"/>
      <c r="BG190" s="2" t="n"/>
      <c r="BH190" s="2" t="n"/>
      <c r="BI190" s="2" t="n"/>
      <c r="BJ190" s="2" t="n"/>
      <c r="BK190" s="2" t="n"/>
      <c r="BL190" s="2" t="n"/>
      <c r="BM190" s="2" t="n"/>
      <c r="BN190" s="2" t="n"/>
      <c r="BO190" s="2" t="n"/>
      <c r="BP190" s="2" t="n"/>
      <c r="BQ190" s="2" t="n"/>
      <c r="BR190" s="2" t="n"/>
      <c r="BS190" s="2" t="n"/>
      <c r="BT190" s="2" t="n"/>
      <c r="BU190" s="2" t="n"/>
      <c r="BV190" s="2" t="n"/>
      <c r="BW190" s="2" t="n"/>
      <c r="BX190" s="2" t="n"/>
      <c r="BY190" s="2" t="n"/>
      <c r="BZ190" s="2" t="n"/>
      <c r="CA190" s="2" t="n"/>
      <c r="CB190" s="2" t="n"/>
      <c r="CC190" s="2" t="n"/>
      <c r="CD190" s="2" t="n"/>
      <c r="CE190" s="2" t="n"/>
      <c r="CF190" s="2" t="n"/>
      <c r="CG190" s="2" t="n"/>
      <c r="CH190" s="2" t="n"/>
      <c r="CI190" s="2" t="n"/>
      <c r="CJ190" s="2" t="n"/>
      <c r="CK190" s="2" t="n"/>
      <c r="CL190" s="2" t="n"/>
      <c r="CM190" s="2" t="n"/>
      <c r="CN190" s="2" t="n"/>
      <c r="CO190" s="2" t="n"/>
      <c r="CP190" s="2" t="n"/>
      <c r="CQ190" s="2" t="n"/>
      <c r="CR190" s="2" t="n"/>
      <c r="CS190" s="2" t="n"/>
      <c r="CT190" s="2" t="n"/>
      <c r="CU190" s="2" t="n"/>
      <c r="CV190" s="2" t="n"/>
      <c r="CW190" s="2" t="n"/>
      <c r="CX190" s="2" t="n"/>
      <c r="CY190" s="2" t="n"/>
      <c r="CZ190" s="2" t="n"/>
      <c r="DA190" s="2" t="n"/>
      <c r="DB190" s="2" t="n"/>
      <c r="DC190" s="2" t="n"/>
      <c r="DD190" s="2" t="n"/>
      <c r="DE190" s="2" t="n"/>
      <c r="DF190" s="2" t="n"/>
      <c r="DG190" s="2" t="n"/>
      <c r="DH190" s="2" t="n"/>
    </row>
    <row r="191" ht="12.75" customFormat="1" customHeight="1" s="76">
      <c r="A191" s="2" t="n"/>
      <c r="B191" s="62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  <c r="BA191" s="2" t="n"/>
      <c r="BB191" s="2" t="n"/>
      <c r="BC191" s="2" t="n"/>
      <c r="BD191" s="2" t="n"/>
      <c r="BE191" s="2" t="n"/>
      <c r="BF191" s="2" t="n"/>
      <c r="BG191" s="2" t="n"/>
      <c r="BH191" s="2" t="n"/>
      <c r="BI191" s="2" t="n"/>
      <c r="BJ191" s="2" t="n"/>
      <c r="BK191" s="2" t="n"/>
      <c r="BL191" s="2" t="n"/>
      <c r="BM191" s="2" t="n"/>
      <c r="BN191" s="2" t="n"/>
      <c r="BO191" s="2" t="n"/>
      <c r="BP191" s="2" t="n"/>
      <c r="BQ191" s="2" t="n"/>
      <c r="BR191" s="2" t="n"/>
      <c r="BS191" s="2" t="n"/>
      <c r="BT191" s="2" t="n"/>
      <c r="BU191" s="2" t="n"/>
      <c r="BV191" s="2" t="n"/>
      <c r="BW191" s="2" t="n"/>
      <c r="BX191" s="2" t="n"/>
      <c r="BY191" s="2" t="n"/>
      <c r="BZ191" s="2" t="n"/>
      <c r="CA191" s="2" t="n"/>
      <c r="CB191" s="2" t="n"/>
      <c r="CC191" s="2" t="n"/>
      <c r="CD191" s="2" t="n"/>
      <c r="CE191" s="2" t="n"/>
      <c r="CF191" s="2" t="n"/>
      <c r="CG191" s="2" t="n"/>
      <c r="CH191" s="2" t="n"/>
      <c r="CI191" s="2" t="n"/>
      <c r="CJ191" s="2" t="n"/>
      <c r="CK191" s="2" t="n"/>
      <c r="CL191" s="2" t="n"/>
      <c r="CM191" s="2" t="n"/>
      <c r="CN191" s="2" t="n"/>
      <c r="CO191" s="2" t="n"/>
      <c r="CP191" s="2" t="n"/>
      <c r="CQ191" s="2" t="n"/>
      <c r="CR191" s="2" t="n"/>
      <c r="CS191" s="2" t="n"/>
      <c r="CT191" s="2" t="n"/>
      <c r="CU191" s="2" t="n"/>
      <c r="CV191" s="2" t="n"/>
      <c r="CW191" s="2" t="n"/>
      <c r="CX191" s="2" t="n"/>
      <c r="CY191" s="2" t="n"/>
      <c r="CZ191" s="2" t="n"/>
      <c r="DA191" s="2" t="n"/>
      <c r="DB191" s="2" t="n"/>
      <c r="DC191" s="2" t="n"/>
      <c r="DD191" s="2" t="n"/>
      <c r="DE191" s="2" t="n"/>
      <c r="DF191" s="2" t="n"/>
      <c r="DG191" s="2" t="n"/>
      <c r="DH191" s="2" t="n"/>
    </row>
    <row r="192" ht="12.75" customFormat="1" customHeight="1" s="76">
      <c r="A192" s="2" t="n"/>
      <c r="B192" s="62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/>
      <c r="BB192" s="2" t="n"/>
      <c r="BC192" s="2" t="n"/>
      <c r="BD192" s="2" t="n"/>
      <c r="BE192" s="2" t="n"/>
      <c r="BF192" s="2" t="n"/>
      <c r="BG192" s="2" t="n"/>
      <c r="BH192" s="2" t="n"/>
      <c r="BI192" s="2" t="n"/>
      <c r="BJ192" s="2" t="n"/>
      <c r="BK192" s="2" t="n"/>
      <c r="BL192" s="2" t="n"/>
      <c r="BM192" s="2" t="n"/>
      <c r="BN192" s="2" t="n"/>
      <c r="BO192" s="2" t="n"/>
      <c r="BP192" s="2" t="n"/>
      <c r="BQ192" s="2" t="n"/>
      <c r="BR192" s="2" t="n"/>
      <c r="BS192" s="2" t="n"/>
      <c r="BT192" s="2" t="n"/>
      <c r="BU192" s="2" t="n"/>
      <c r="BV192" s="2" t="n"/>
      <c r="BW192" s="2" t="n"/>
      <c r="BX192" s="2" t="n"/>
      <c r="BY192" s="2" t="n"/>
      <c r="BZ192" s="2" t="n"/>
      <c r="CA192" s="2" t="n"/>
      <c r="CB192" s="2" t="n"/>
      <c r="CC192" s="2" t="n"/>
      <c r="CD192" s="2" t="n"/>
      <c r="CE192" s="2" t="n"/>
      <c r="CF192" s="2" t="n"/>
      <c r="CG192" s="2" t="n"/>
      <c r="CH192" s="2" t="n"/>
      <c r="CI192" s="2" t="n"/>
      <c r="CJ192" s="2" t="n"/>
      <c r="CK192" s="2" t="n"/>
      <c r="CL192" s="2" t="n"/>
      <c r="CM192" s="2" t="n"/>
      <c r="CN192" s="2" t="n"/>
      <c r="CO192" s="2" t="n"/>
      <c r="CP192" s="2" t="n"/>
      <c r="CQ192" s="2" t="n"/>
      <c r="CR192" s="2" t="n"/>
      <c r="CS192" s="2" t="n"/>
      <c r="CT192" s="2" t="n"/>
      <c r="CU192" s="2" t="n"/>
      <c r="CV192" s="2" t="n"/>
      <c r="CW192" s="2" t="n"/>
      <c r="CX192" s="2" t="n"/>
      <c r="CY192" s="2" t="n"/>
      <c r="CZ192" s="2" t="n"/>
      <c r="DA192" s="2" t="n"/>
      <c r="DB192" s="2" t="n"/>
      <c r="DC192" s="2" t="n"/>
      <c r="DD192" s="2" t="n"/>
      <c r="DE192" s="2" t="n"/>
      <c r="DF192" s="2" t="n"/>
      <c r="DG192" s="2" t="n"/>
      <c r="DH192" s="2" t="n"/>
    </row>
    <row r="193" ht="12.75" customFormat="1" customHeight="1" s="76">
      <c r="A193" s="2" t="n"/>
      <c r="B193" s="62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  <c r="BA193" s="2" t="n"/>
      <c r="BB193" s="2" t="n"/>
      <c r="BC193" s="2" t="n"/>
      <c r="BD193" s="2" t="n"/>
      <c r="BE193" s="2" t="n"/>
      <c r="BF193" s="2" t="n"/>
      <c r="BG193" s="2" t="n"/>
      <c r="BH193" s="2" t="n"/>
      <c r="BI193" s="2" t="n"/>
      <c r="BJ193" s="2" t="n"/>
      <c r="BK193" s="2" t="n"/>
      <c r="BL193" s="2" t="n"/>
      <c r="BM193" s="2" t="n"/>
      <c r="BN193" s="2" t="n"/>
      <c r="BO193" s="2" t="n"/>
      <c r="BP193" s="2" t="n"/>
      <c r="BQ193" s="2" t="n"/>
      <c r="BR193" s="2" t="n"/>
      <c r="BS193" s="2" t="n"/>
      <c r="BT193" s="2" t="n"/>
      <c r="BU193" s="2" t="n"/>
      <c r="BV193" s="2" t="n"/>
      <c r="BW193" s="2" t="n"/>
      <c r="BX193" s="2" t="n"/>
      <c r="BY193" s="2" t="n"/>
      <c r="BZ193" s="2" t="n"/>
      <c r="CA193" s="2" t="n"/>
      <c r="CB193" s="2" t="n"/>
      <c r="CC193" s="2" t="n"/>
      <c r="CD193" s="2" t="n"/>
      <c r="CE193" s="2" t="n"/>
      <c r="CF193" s="2" t="n"/>
      <c r="CG193" s="2" t="n"/>
      <c r="CH193" s="2" t="n"/>
      <c r="CI193" s="2" t="n"/>
      <c r="CJ193" s="2" t="n"/>
      <c r="CK193" s="2" t="n"/>
      <c r="CL193" s="2" t="n"/>
      <c r="CM193" s="2" t="n"/>
      <c r="CN193" s="2" t="n"/>
      <c r="CO193" s="2" t="n"/>
      <c r="CP193" s="2" t="n"/>
      <c r="CQ193" s="2" t="n"/>
      <c r="CR193" s="2" t="n"/>
      <c r="CS193" s="2" t="n"/>
      <c r="CT193" s="2" t="n"/>
      <c r="CU193" s="2" t="n"/>
      <c r="CV193" s="2" t="n"/>
      <c r="CW193" s="2" t="n"/>
      <c r="CX193" s="2" t="n"/>
      <c r="CY193" s="2" t="n"/>
      <c r="CZ193" s="2" t="n"/>
      <c r="DA193" s="2" t="n"/>
      <c r="DB193" s="2" t="n"/>
      <c r="DC193" s="2" t="n"/>
      <c r="DD193" s="2" t="n"/>
      <c r="DE193" s="2" t="n"/>
      <c r="DF193" s="2" t="n"/>
      <c r="DG193" s="2" t="n"/>
      <c r="DH193" s="2" t="n"/>
    </row>
    <row r="194" ht="12.75" customFormat="1" customHeight="1" s="76">
      <c r="A194" s="2" t="n"/>
      <c r="B194" s="62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  <c r="AV194" s="2" t="n"/>
      <c r="AW194" s="2" t="n"/>
      <c r="AX194" s="2" t="n"/>
      <c r="AY194" s="2" t="n"/>
      <c r="AZ194" s="2" t="n"/>
      <c r="BA194" s="2" t="n"/>
      <c r="BB194" s="2" t="n"/>
      <c r="BC194" s="2" t="n"/>
      <c r="BD194" s="2" t="n"/>
      <c r="BE194" s="2" t="n"/>
      <c r="BF194" s="2" t="n"/>
      <c r="BG194" s="2" t="n"/>
      <c r="BH194" s="2" t="n"/>
      <c r="BI194" s="2" t="n"/>
      <c r="BJ194" s="2" t="n"/>
      <c r="BK194" s="2" t="n"/>
      <c r="BL194" s="2" t="n"/>
      <c r="BM194" s="2" t="n"/>
      <c r="BN194" s="2" t="n"/>
      <c r="BO194" s="2" t="n"/>
      <c r="BP194" s="2" t="n"/>
      <c r="BQ194" s="2" t="n"/>
      <c r="BR194" s="2" t="n"/>
      <c r="BS194" s="2" t="n"/>
      <c r="BT194" s="2" t="n"/>
      <c r="BU194" s="2" t="n"/>
      <c r="BV194" s="2" t="n"/>
      <c r="BW194" s="2" t="n"/>
      <c r="BX194" s="2" t="n"/>
      <c r="BY194" s="2" t="n"/>
      <c r="BZ194" s="2" t="n"/>
      <c r="CA194" s="2" t="n"/>
      <c r="CB194" s="2" t="n"/>
      <c r="CC194" s="2" t="n"/>
      <c r="CD194" s="2" t="n"/>
      <c r="CE194" s="2" t="n"/>
      <c r="CF194" s="2" t="n"/>
      <c r="CG194" s="2" t="n"/>
      <c r="CH194" s="2" t="n"/>
      <c r="CI194" s="2" t="n"/>
      <c r="CJ194" s="2" t="n"/>
      <c r="CK194" s="2" t="n"/>
      <c r="CL194" s="2" t="n"/>
      <c r="CM194" s="2" t="n"/>
      <c r="CN194" s="2" t="n"/>
      <c r="CO194" s="2" t="n"/>
      <c r="CP194" s="2" t="n"/>
      <c r="CQ194" s="2" t="n"/>
      <c r="CR194" s="2" t="n"/>
      <c r="CS194" s="2" t="n"/>
      <c r="CT194" s="2" t="n"/>
      <c r="CU194" s="2" t="n"/>
      <c r="CV194" s="2" t="n"/>
      <c r="CW194" s="2" t="n"/>
      <c r="CX194" s="2" t="n"/>
      <c r="CY194" s="2" t="n"/>
      <c r="CZ194" s="2" t="n"/>
      <c r="DA194" s="2" t="n"/>
      <c r="DB194" s="2" t="n"/>
      <c r="DC194" s="2" t="n"/>
      <c r="DD194" s="2" t="n"/>
      <c r="DE194" s="2" t="n"/>
      <c r="DF194" s="2" t="n"/>
      <c r="DG194" s="2" t="n"/>
      <c r="DH194" s="2" t="n"/>
    </row>
    <row r="195" ht="12.75" customFormat="1" customHeight="1" s="76">
      <c r="A195" s="2" t="n"/>
      <c r="B195" s="62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  <c r="AV195" s="2" t="n"/>
      <c r="AW195" s="2" t="n"/>
      <c r="AX195" s="2" t="n"/>
      <c r="AY195" s="2" t="n"/>
      <c r="AZ195" s="2" t="n"/>
      <c r="BA195" s="2" t="n"/>
      <c r="BB195" s="2" t="n"/>
      <c r="BC195" s="2" t="n"/>
      <c r="BD195" s="2" t="n"/>
      <c r="BE195" s="2" t="n"/>
      <c r="BF195" s="2" t="n"/>
      <c r="BG195" s="2" t="n"/>
      <c r="BH195" s="2" t="n"/>
      <c r="BI195" s="2" t="n"/>
      <c r="BJ195" s="2" t="n"/>
      <c r="BK195" s="2" t="n"/>
      <c r="BL195" s="2" t="n"/>
      <c r="BM195" s="2" t="n"/>
      <c r="BN195" s="2" t="n"/>
      <c r="BO195" s="2" t="n"/>
      <c r="BP195" s="2" t="n"/>
      <c r="BQ195" s="2" t="n"/>
      <c r="BR195" s="2" t="n"/>
      <c r="BS195" s="2" t="n"/>
      <c r="BT195" s="2" t="n"/>
      <c r="BU195" s="2" t="n"/>
      <c r="BV195" s="2" t="n"/>
      <c r="BW195" s="2" t="n"/>
      <c r="BX195" s="2" t="n"/>
      <c r="BY195" s="2" t="n"/>
      <c r="BZ195" s="2" t="n"/>
      <c r="CA195" s="2" t="n"/>
      <c r="CB195" s="2" t="n"/>
      <c r="CC195" s="2" t="n"/>
      <c r="CD195" s="2" t="n"/>
      <c r="CE195" s="2" t="n"/>
      <c r="CF195" s="2" t="n"/>
      <c r="CG195" s="2" t="n"/>
      <c r="CH195" s="2" t="n"/>
      <c r="CI195" s="2" t="n"/>
      <c r="CJ195" s="2" t="n"/>
      <c r="CK195" s="2" t="n"/>
      <c r="CL195" s="2" t="n"/>
      <c r="CM195" s="2" t="n"/>
      <c r="CN195" s="2" t="n"/>
      <c r="CO195" s="2" t="n"/>
      <c r="CP195" s="2" t="n"/>
      <c r="CQ195" s="2" t="n"/>
      <c r="CR195" s="2" t="n"/>
      <c r="CS195" s="2" t="n"/>
      <c r="CT195" s="2" t="n"/>
      <c r="CU195" s="2" t="n"/>
      <c r="CV195" s="2" t="n"/>
      <c r="CW195" s="2" t="n"/>
      <c r="CX195" s="2" t="n"/>
      <c r="CY195" s="2" t="n"/>
      <c r="CZ195" s="2" t="n"/>
      <c r="DA195" s="2" t="n"/>
      <c r="DB195" s="2" t="n"/>
      <c r="DC195" s="2" t="n"/>
      <c r="DD195" s="2" t="n"/>
      <c r="DE195" s="2" t="n"/>
      <c r="DF195" s="2" t="n"/>
      <c r="DG195" s="2" t="n"/>
      <c r="DH195" s="2" t="n"/>
    </row>
    <row r="196" ht="12.75" customFormat="1" customHeight="1" s="76">
      <c r="A196" s="2" t="n"/>
      <c r="B196" s="62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  <c r="AV196" s="2" t="n"/>
      <c r="AW196" s="2" t="n"/>
      <c r="AX196" s="2" t="n"/>
      <c r="AY196" s="2" t="n"/>
      <c r="AZ196" s="2" t="n"/>
      <c r="BA196" s="2" t="n"/>
      <c r="BB196" s="2" t="n"/>
      <c r="BC196" s="2" t="n"/>
      <c r="BD196" s="2" t="n"/>
      <c r="BE196" s="2" t="n"/>
      <c r="BF196" s="2" t="n"/>
      <c r="BG196" s="2" t="n"/>
      <c r="BH196" s="2" t="n"/>
      <c r="BI196" s="2" t="n"/>
      <c r="BJ196" s="2" t="n"/>
      <c r="BK196" s="2" t="n"/>
      <c r="BL196" s="2" t="n"/>
      <c r="BM196" s="2" t="n"/>
      <c r="BN196" s="2" t="n"/>
      <c r="BO196" s="2" t="n"/>
      <c r="BP196" s="2" t="n"/>
      <c r="BQ196" s="2" t="n"/>
      <c r="BR196" s="2" t="n"/>
      <c r="BS196" s="2" t="n"/>
      <c r="BT196" s="2" t="n"/>
      <c r="BU196" s="2" t="n"/>
      <c r="BV196" s="2" t="n"/>
      <c r="BW196" s="2" t="n"/>
      <c r="BX196" s="2" t="n"/>
      <c r="BY196" s="2" t="n"/>
      <c r="BZ196" s="2" t="n"/>
      <c r="CA196" s="2" t="n"/>
      <c r="CB196" s="2" t="n"/>
      <c r="CC196" s="2" t="n"/>
      <c r="CD196" s="2" t="n"/>
      <c r="CE196" s="2" t="n"/>
      <c r="CF196" s="2" t="n"/>
      <c r="CG196" s="2" t="n"/>
      <c r="CH196" s="2" t="n"/>
      <c r="CI196" s="2" t="n"/>
      <c r="CJ196" s="2" t="n"/>
      <c r="CK196" s="2" t="n"/>
      <c r="CL196" s="2" t="n"/>
      <c r="CM196" s="2" t="n"/>
      <c r="CN196" s="2" t="n"/>
      <c r="CO196" s="2" t="n"/>
      <c r="CP196" s="2" t="n"/>
      <c r="CQ196" s="2" t="n"/>
      <c r="CR196" s="2" t="n"/>
      <c r="CS196" s="2" t="n"/>
      <c r="CT196" s="2" t="n"/>
      <c r="CU196" s="2" t="n"/>
      <c r="CV196" s="2" t="n"/>
      <c r="CW196" s="2" t="n"/>
      <c r="CX196" s="2" t="n"/>
      <c r="CY196" s="2" t="n"/>
      <c r="CZ196" s="2" t="n"/>
      <c r="DA196" s="2" t="n"/>
      <c r="DB196" s="2" t="n"/>
      <c r="DC196" s="2" t="n"/>
      <c r="DD196" s="2" t="n"/>
      <c r="DE196" s="2" t="n"/>
      <c r="DF196" s="2" t="n"/>
      <c r="DG196" s="2" t="n"/>
      <c r="DH196" s="2" t="n"/>
    </row>
    <row r="197" ht="12.75" customFormat="1" customHeight="1" s="76">
      <c r="A197" s="2" t="n"/>
      <c r="B197" s="62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  <c r="AV197" s="2" t="n"/>
      <c r="AW197" s="2" t="n"/>
      <c r="AX197" s="2" t="n"/>
      <c r="AY197" s="2" t="n"/>
      <c r="AZ197" s="2" t="n"/>
      <c r="BA197" s="2" t="n"/>
      <c r="BB197" s="2" t="n"/>
      <c r="BC197" s="2" t="n"/>
      <c r="BD197" s="2" t="n"/>
      <c r="BE197" s="2" t="n"/>
      <c r="BF197" s="2" t="n"/>
      <c r="BG197" s="2" t="n"/>
      <c r="BH197" s="2" t="n"/>
      <c r="BI197" s="2" t="n"/>
      <c r="BJ197" s="2" t="n"/>
      <c r="BK197" s="2" t="n"/>
      <c r="BL197" s="2" t="n"/>
      <c r="BM197" s="2" t="n"/>
      <c r="BN197" s="2" t="n"/>
      <c r="BO197" s="2" t="n"/>
      <c r="BP197" s="2" t="n"/>
      <c r="BQ197" s="2" t="n"/>
      <c r="BR197" s="2" t="n"/>
      <c r="BS197" s="2" t="n"/>
      <c r="BT197" s="2" t="n"/>
      <c r="BU197" s="2" t="n"/>
      <c r="BV197" s="2" t="n"/>
      <c r="BW197" s="2" t="n"/>
      <c r="BX197" s="2" t="n"/>
      <c r="BY197" s="2" t="n"/>
      <c r="BZ197" s="2" t="n"/>
      <c r="CA197" s="2" t="n"/>
      <c r="CB197" s="2" t="n"/>
      <c r="CC197" s="2" t="n"/>
      <c r="CD197" s="2" t="n"/>
      <c r="CE197" s="2" t="n"/>
      <c r="CF197" s="2" t="n"/>
      <c r="CG197" s="2" t="n"/>
      <c r="CH197" s="2" t="n"/>
      <c r="CI197" s="2" t="n"/>
      <c r="CJ197" s="2" t="n"/>
      <c r="CK197" s="2" t="n"/>
      <c r="CL197" s="2" t="n"/>
      <c r="CM197" s="2" t="n"/>
      <c r="CN197" s="2" t="n"/>
      <c r="CO197" s="2" t="n"/>
      <c r="CP197" s="2" t="n"/>
      <c r="CQ197" s="2" t="n"/>
      <c r="CR197" s="2" t="n"/>
      <c r="CS197" s="2" t="n"/>
      <c r="CT197" s="2" t="n"/>
      <c r="CU197" s="2" t="n"/>
      <c r="CV197" s="2" t="n"/>
      <c r="CW197" s="2" t="n"/>
      <c r="CX197" s="2" t="n"/>
      <c r="CY197" s="2" t="n"/>
      <c r="CZ197" s="2" t="n"/>
      <c r="DA197" s="2" t="n"/>
      <c r="DB197" s="2" t="n"/>
      <c r="DC197" s="2" t="n"/>
      <c r="DD197" s="2" t="n"/>
      <c r="DE197" s="2" t="n"/>
      <c r="DF197" s="2" t="n"/>
      <c r="DG197" s="2" t="n"/>
      <c r="DH197" s="2" t="n"/>
    </row>
    <row r="198" ht="12.75" customFormat="1" customHeight="1" s="76">
      <c r="A198" s="2" t="n"/>
      <c r="B198" s="62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  <c r="AV198" s="2" t="n"/>
      <c r="AW198" s="2" t="n"/>
      <c r="AX198" s="2" t="n"/>
      <c r="AY198" s="2" t="n"/>
      <c r="AZ198" s="2" t="n"/>
      <c r="BA198" s="2" t="n"/>
      <c r="BB198" s="2" t="n"/>
      <c r="BC198" s="2" t="n"/>
      <c r="BD198" s="2" t="n"/>
      <c r="BE198" s="2" t="n"/>
      <c r="BF198" s="2" t="n"/>
      <c r="BG198" s="2" t="n"/>
      <c r="BH198" s="2" t="n"/>
      <c r="BI198" s="2" t="n"/>
      <c r="BJ198" s="2" t="n"/>
      <c r="BK198" s="2" t="n"/>
      <c r="BL198" s="2" t="n"/>
      <c r="BM198" s="2" t="n"/>
      <c r="BN198" s="2" t="n"/>
      <c r="BO198" s="2" t="n"/>
      <c r="BP198" s="2" t="n"/>
      <c r="BQ198" s="2" t="n"/>
      <c r="BR198" s="2" t="n"/>
      <c r="BS198" s="2" t="n"/>
      <c r="BT198" s="2" t="n"/>
      <c r="BU198" s="2" t="n"/>
      <c r="BV198" s="2" t="n"/>
      <c r="BW198" s="2" t="n"/>
      <c r="BX198" s="2" t="n"/>
      <c r="BY198" s="2" t="n"/>
      <c r="BZ198" s="2" t="n"/>
      <c r="CA198" s="2" t="n"/>
      <c r="CB198" s="2" t="n"/>
      <c r="CC198" s="2" t="n"/>
      <c r="CD198" s="2" t="n"/>
      <c r="CE198" s="2" t="n"/>
      <c r="CF198" s="2" t="n"/>
      <c r="CG198" s="2" t="n"/>
      <c r="CH198" s="2" t="n"/>
      <c r="CI198" s="2" t="n"/>
      <c r="CJ198" s="2" t="n"/>
      <c r="CK198" s="2" t="n"/>
      <c r="CL198" s="2" t="n"/>
      <c r="CM198" s="2" t="n"/>
      <c r="CN198" s="2" t="n"/>
      <c r="CO198" s="2" t="n"/>
      <c r="CP198" s="2" t="n"/>
      <c r="CQ198" s="2" t="n"/>
      <c r="CR198" s="2" t="n"/>
      <c r="CS198" s="2" t="n"/>
      <c r="CT198" s="2" t="n"/>
      <c r="CU198" s="2" t="n"/>
      <c r="CV198" s="2" t="n"/>
      <c r="CW198" s="2" t="n"/>
      <c r="CX198" s="2" t="n"/>
      <c r="CY198" s="2" t="n"/>
      <c r="CZ198" s="2" t="n"/>
      <c r="DA198" s="2" t="n"/>
      <c r="DB198" s="2" t="n"/>
      <c r="DC198" s="2" t="n"/>
      <c r="DD198" s="2" t="n"/>
      <c r="DE198" s="2" t="n"/>
      <c r="DF198" s="2" t="n"/>
      <c r="DG198" s="2" t="n"/>
      <c r="DH198" s="2" t="n"/>
    </row>
    <row r="199" ht="12.75" customFormat="1" customHeight="1" s="76">
      <c r="A199" s="2" t="n"/>
      <c r="B199" s="62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  <c r="AV199" s="2" t="n"/>
      <c r="AW199" s="2" t="n"/>
      <c r="AX199" s="2" t="n"/>
      <c r="AY199" s="2" t="n"/>
      <c r="AZ199" s="2" t="n"/>
      <c r="BA199" s="2" t="n"/>
      <c r="BB199" s="2" t="n"/>
      <c r="BC199" s="2" t="n"/>
      <c r="BD199" s="2" t="n"/>
      <c r="BE199" s="2" t="n"/>
      <c r="BF199" s="2" t="n"/>
      <c r="BG199" s="2" t="n"/>
      <c r="BH199" s="2" t="n"/>
      <c r="BI199" s="2" t="n"/>
      <c r="BJ199" s="2" t="n"/>
      <c r="BK199" s="2" t="n"/>
      <c r="BL199" s="2" t="n"/>
      <c r="BM199" s="2" t="n"/>
      <c r="BN199" s="2" t="n"/>
      <c r="BO199" s="2" t="n"/>
      <c r="BP199" s="2" t="n"/>
      <c r="BQ199" s="2" t="n"/>
      <c r="BR199" s="2" t="n"/>
      <c r="BS199" s="2" t="n"/>
      <c r="BT199" s="2" t="n"/>
      <c r="BU199" s="2" t="n"/>
      <c r="BV199" s="2" t="n"/>
      <c r="BW199" s="2" t="n"/>
      <c r="BX199" s="2" t="n"/>
      <c r="BY199" s="2" t="n"/>
      <c r="BZ199" s="2" t="n"/>
      <c r="CA199" s="2" t="n"/>
      <c r="CB199" s="2" t="n"/>
      <c r="CC199" s="2" t="n"/>
      <c r="CD199" s="2" t="n"/>
      <c r="CE199" s="2" t="n"/>
      <c r="CF199" s="2" t="n"/>
      <c r="CG199" s="2" t="n"/>
      <c r="CH199" s="2" t="n"/>
      <c r="CI199" s="2" t="n"/>
      <c r="CJ199" s="2" t="n"/>
      <c r="CK199" s="2" t="n"/>
      <c r="CL199" s="2" t="n"/>
      <c r="CM199" s="2" t="n"/>
      <c r="CN199" s="2" t="n"/>
      <c r="CO199" s="2" t="n"/>
      <c r="CP199" s="2" t="n"/>
      <c r="CQ199" s="2" t="n"/>
      <c r="CR199" s="2" t="n"/>
      <c r="CS199" s="2" t="n"/>
      <c r="CT199" s="2" t="n"/>
      <c r="CU199" s="2" t="n"/>
      <c r="CV199" s="2" t="n"/>
      <c r="CW199" s="2" t="n"/>
      <c r="CX199" s="2" t="n"/>
      <c r="CY199" s="2" t="n"/>
      <c r="CZ199" s="2" t="n"/>
      <c r="DA199" s="2" t="n"/>
      <c r="DB199" s="2" t="n"/>
      <c r="DC199" s="2" t="n"/>
      <c r="DD199" s="2" t="n"/>
      <c r="DE199" s="2" t="n"/>
      <c r="DF199" s="2" t="n"/>
      <c r="DG199" s="2" t="n"/>
      <c r="DH199" s="2" t="n"/>
    </row>
    <row r="200" ht="12.75" customFormat="1" customHeight="1" s="76">
      <c r="A200" s="2" t="n"/>
      <c r="B200" s="62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  <c r="AV200" s="2" t="n"/>
      <c r="AW200" s="2" t="n"/>
      <c r="AX200" s="2" t="n"/>
      <c r="AY200" s="2" t="n"/>
      <c r="AZ200" s="2" t="n"/>
      <c r="BA200" s="2" t="n"/>
      <c r="BB200" s="2" t="n"/>
      <c r="BC200" s="2" t="n"/>
      <c r="BD200" s="2" t="n"/>
      <c r="BE200" s="2" t="n"/>
      <c r="BF200" s="2" t="n"/>
      <c r="BG200" s="2" t="n"/>
      <c r="BH200" s="2" t="n"/>
      <c r="BI200" s="2" t="n"/>
      <c r="BJ200" s="2" t="n"/>
      <c r="BK200" s="2" t="n"/>
      <c r="BL200" s="2" t="n"/>
      <c r="BM200" s="2" t="n"/>
      <c r="BN200" s="2" t="n"/>
      <c r="BO200" s="2" t="n"/>
      <c r="BP200" s="2" t="n"/>
      <c r="BQ200" s="2" t="n"/>
      <c r="BR200" s="2" t="n"/>
      <c r="BS200" s="2" t="n"/>
      <c r="BT200" s="2" t="n"/>
      <c r="BU200" s="2" t="n"/>
      <c r="BV200" s="2" t="n"/>
      <c r="BW200" s="2" t="n"/>
      <c r="BX200" s="2" t="n"/>
      <c r="BY200" s="2" t="n"/>
      <c r="BZ200" s="2" t="n"/>
      <c r="CA200" s="2" t="n"/>
      <c r="CB200" s="2" t="n"/>
      <c r="CC200" s="2" t="n"/>
      <c r="CD200" s="2" t="n"/>
      <c r="CE200" s="2" t="n"/>
      <c r="CF200" s="2" t="n"/>
      <c r="CG200" s="2" t="n"/>
      <c r="CH200" s="2" t="n"/>
      <c r="CI200" s="2" t="n"/>
      <c r="CJ200" s="2" t="n"/>
      <c r="CK200" s="2" t="n"/>
      <c r="CL200" s="2" t="n"/>
      <c r="CM200" s="2" t="n"/>
      <c r="CN200" s="2" t="n"/>
      <c r="CO200" s="2" t="n"/>
      <c r="CP200" s="2" t="n"/>
      <c r="CQ200" s="2" t="n"/>
      <c r="CR200" s="2" t="n"/>
      <c r="CS200" s="2" t="n"/>
      <c r="CT200" s="2" t="n"/>
      <c r="CU200" s="2" t="n"/>
      <c r="CV200" s="2" t="n"/>
      <c r="CW200" s="2" t="n"/>
      <c r="CX200" s="2" t="n"/>
      <c r="CY200" s="2" t="n"/>
      <c r="CZ200" s="2" t="n"/>
      <c r="DA200" s="2" t="n"/>
      <c r="DB200" s="2" t="n"/>
      <c r="DC200" s="2" t="n"/>
      <c r="DD200" s="2" t="n"/>
      <c r="DE200" s="2" t="n"/>
      <c r="DF200" s="2" t="n"/>
      <c r="DG200" s="2" t="n"/>
      <c r="DH200" s="2" t="n"/>
    </row>
    <row r="201" ht="12.75" customFormat="1" customHeight="1" s="76">
      <c r="A201" s="2" t="n"/>
      <c r="B201" s="62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  <c r="AV201" s="2" t="n"/>
      <c r="AW201" s="2" t="n"/>
      <c r="AX201" s="2" t="n"/>
      <c r="AY201" s="2" t="n"/>
      <c r="AZ201" s="2" t="n"/>
      <c r="BA201" s="2" t="n"/>
      <c r="BB201" s="2" t="n"/>
      <c r="BC201" s="2" t="n"/>
      <c r="BD201" s="2" t="n"/>
      <c r="BE201" s="2" t="n"/>
      <c r="BF201" s="2" t="n"/>
      <c r="BG201" s="2" t="n"/>
      <c r="BH201" s="2" t="n"/>
      <c r="BI201" s="2" t="n"/>
      <c r="BJ201" s="2" t="n"/>
      <c r="BK201" s="2" t="n"/>
      <c r="BL201" s="2" t="n"/>
      <c r="BM201" s="2" t="n"/>
      <c r="BN201" s="2" t="n"/>
      <c r="BO201" s="2" t="n"/>
      <c r="BP201" s="2" t="n"/>
      <c r="BQ201" s="2" t="n"/>
      <c r="BR201" s="2" t="n"/>
      <c r="BS201" s="2" t="n"/>
      <c r="BT201" s="2" t="n"/>
      <c r="BU201" s="2" t="n"/>
      <c r="BV201" s="2" t="n"/>
      <c r="BW201" s="2" t="n"/>
      <c r="BX201" s="2" t="n"/>
      <c r="BY201" s="2" t="n"/>
      <c r="BZ201" s="2" t="n"/>
      <c r="CA201" s="2" t="n"/>
      <c r="CB201" s="2" t="n"/>
      <c r="CC201" s="2" t="n"/>
      <c r="CD201" s="2" t="n"/>
      <c r="CE201" s="2" t="n"/>
      <c r="CF201" s="2" t="n"/>
      <c r="CG201" s="2" t="n"/>
      <c r="CH201" s="2" t="n"/>
      <c r="CI201" s="2" t="n"/>
      <c r="CJ201" s="2" t="n"/>
      <c r="CK201" s="2" t="n"/>
      <c r="CL201" s="2" t="n"/>
      <c r="CM201" s="2" t="n"/>
      <c r="CN201" s="2" t="n"/>
      <c r="CO201" s="2" t="n"/>
      <c r="CP201" s="2" t="n"/>
      <c r="CQ201" s="2" t="n"/>
      <c r="CR201" s="2" t="n"/>
      <c r="CS201" s="2" t="n"/>
      <c r="CT201" s="2" t="n"/>
      <c r="CU201" s="2" t="n"/>
      <c r="CV201" s="2" t="n"/>
      <c r="CW201" s="2" t="n"/>
      <c r="CX201" s="2" t="n"/>
      <c r="CY201" s="2" t="n"/>
      <c r="CZ201" s="2" t="n"/>
      <c r="DA201" s="2" t="n"/>
      <c r="DB201" s="2" t="n"/>
      <c r="DC201" s="2" t="n"/>
      <c r="DD201" s="2" t="n"/>
      <c r="DE201" s="2" t="n"/>
      <c r="DF201" s="2" t="n"/>
      <c r="DG201" s="2" t="n"/>
      <c r="DH201" s="2" t="n"/>
    </row>
    <row r="202" ht="12.75" customFormat="1" customHeight="1" s="76">
      <c r="A202" s="2" t="n"/>
      <c r="B202" s="62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2" t="n"/>
      <c r="AO202" s="2" t="n"/>
      <c r="AP202" s="2" t="n"/>
      <c r="AQ202" s="2" t="n"/>
      <c r="AR202" s="2" t="n"/>
      <c r="AS202" s="2" t="n"/>
      <c r="AT202" s="2" t="n"/>
      <c r="AU202" s="2" t="n"/>
      <c r="AV202" s="2" t="n"/>
      <c r="AW202" s="2" t="n"/>
      <c r="AX202" s="2" t="n"/>
      <c r="AY202" s="2" t="n"/>
      <c r="AZ202" s="2" t="n"/>
      <c r="BA202" s="2" t="n"/>
      <c r="BB202" s="2" t="n"/>
      <c r="BC202" s="2" t="n"/>
      <c r="BD202" s="2" t="n"/>
      <c r="BE202" s="2" t="n"/>
      <c r="BF202" s="2" t="n"/>
      <c r="BG202" s="2" t="n"/>
      <c r="BH202" s="2" t="n"/>
      <c r="BI202" s="2" t="n"/>
      <c r="BJ202" s="2" t="n"/>
      <c r="BK202" s="2" t="n"/>
      <c r="BL202" s="2" t="n"/>
      <c r="BM202" s="2" t="n"/>
      <c r="BN202" s="2" t="n"/>
      <c r="BO202" s="2" t="n"/>
      <c r="BP202" s="2" t="n"/>
      <c r="BQ202" s="2" t="n"/>
      <c r="BR202" s="2" t="n"/>
      <c r="BS202" s="2" t="n"/>
      <c r="BT202" s="2" t="n"/>
      <c r="BU202" s="2" t="n"/>
      <c r="BV202" s="2" t="n"/>
      <c r="BW202" s="2" t="n"/>
      <c r="BX202" s="2" t="n"/>
      <c r="BY202" s="2" t="n"/>
      <c r="BZ202" s="2" t="n"/>
      <c r="CA202" s="2" t="n"/>
      <c r="CB202" s="2" t="n"/>
      <c r="CC202" s="2" t="n"/>
      <c r="CD202" s="2" t="n"/>
      <c r="CE202" s="2" t="n"/>
      <c r="CF202" s="2" t="n"/>
      <c r="CG202" s="2" t="n"/>
      <c r="CH202" s="2" t="n"/>
      <c r="CI202" s="2" t="n"/>
      <c r="CJ202" s="2" t="n"/>
      <c r="CK202" s="2" t="n"/>
      <c r="CL202" s="2" t="n"/>
      <c r="CM202" s="2" t="n"/>
      <c r="CN202" s="2" t="n"/>
      <c r="CO202" s="2" t="n"/>
      <c r="CP202" s="2" t="n"/>
      <c r="CQ202" s="2" t="n"/>
      <c r="CR202" s="2" t="n"/>
      <c r="CS202" s="2" t="n"/>
      <c r="CT202" s="2" t="n"/>
      <c r="CU202" s="2" t="n"/>
      <c r="CV202" s="2" t="n"/>
      <c r="CW202" s="2" t="n"/>
      <c r="CX202" s="2" t="n"/>
      <c r="CY202" s="2" t="n"/>
      <c r="CZ202" s="2" t="n"/>
      <c r="DA202" s="2" t="n"/>
      <c r="DB202" s="2" t="n"/>
      <c r="DC202" s="2" t="n"/>
      <c r="DD202" s="2" t="n"/>
      <c r="DE202" s="2" t="n"/>
      <c r="DF202" s="2" t="n"/>
      <c r="DG202" s="2" t="n"/>
      <c r="DH202" s="2" t="n"/>
    </row>
    <row r="203" ht="12.75" customFormat="1" customHeight="1" s="76">
      <c r="A203" s="2" t="n"/>
      <c r="B203" s="62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2" t="n"/>
      <c r="AO203" s="2" t="n"/>
      <c r="AP203" s="2" t="n"/>
      <c r="AQ203" s="2" t="n"/>
      <c r="AR203" s="2" t="n"/>
      <c r="AS203" s="2" t="n"/>
      <c r="AT203" s="2" t="n"/>
      <c r="AU203" s="2" t="n"/>
      <c r="AV203" s="2" t="n"/>
      <c r="AW203" s="2" t="n"/>
      <c r="AX203" s="2" t="n"/>
      <c r="AY203" s="2" t="n"/>
      <c r="AZ203" s="2" t="n"/>
      <c r="BA203" s="2" t="n"/>
      <c r="BB203" s="2" t="n"/>
      <c r="BC203" s="2" t="n"/>
      <c r="BD203" s="2" t="n"/>
      <c r="BE203" s="2" t="n"/>
      <c r="BF203" s="2" t="n"/>
      <c r="BG203" s="2" t="n"/>
      <c r="BH203" s="2" t="n"/>
      <c r="BI203" s="2" t="n"/>
      <c r="BJ203" s="2" t="n"/>
      <c r="BK203" s="2" t="n"/>
      <c r="BL203" s="2" t="n"/>
      <c r="BM203" s="2" t="n"/>
      <c r="BN203" s="2" t="n"/>
      <c r="BO203" s="2" t="n"/>
      <c r="BP203" s="2" t="n"/>
      <c r="BQ203" s="2" t="n"/>
      <c r="BR203" s="2" t="n"/>
      <c r="BS203" s="2" t="n"/>
      <c r="BT203" s="2" t="n"/>
      <c r="BU203" s="2" t="n"/>
      <c r="BV203" s="2" t="n"/>
      <c r="BW203" s="2" t="n"/>
      <c r="BX203" s="2" t="n"/>
      <c r="BY203" s="2" t="n"/>
      <c r="BZ203" s="2" t="n"/>
      <c r="CA203" s="2" t="n"/>
      <c r="CB203" s="2" t="n"/>
      <c r="CC203" s="2" t="n"/>
      <c r="CD203" s="2" t="n"/>
      <c r="CE203" s="2" t="n"/>
      <c r="CF203" s="2" t="n"/>
      <c r="CG203" s="2" t="n"/>
      <c r="CH203" s="2" t="n"/>
      <c r="CI203" s="2" t="n"/>
      <c r="CJ203" s="2" t="n"/>
      <c r="CK203" s="2" t="n"/>
      <c r="CL203" s="2" t="n"/>
      <c r="CM203" s="2" t="n"/>
      <c r="CN203" s="2" t="n"/>
      <c r="CO203" s="2" t="n"/>
      <c r="CP203" s="2" t="n"/>
      <c r="CQ203" s="2" t="n"/>
      <c r="CR203" s="2" t="n"/>
      <c r="CS203" s="2" t="n"/>
      <c r="CT203" s="2" t="n"/>
      <c r="CU203" s="2" t="n"/>
      <c r="CV203" s="2" t="n"/>
      <c r="CW203" s="2" t="n"/>
      <c r="CX203" s="2" t="n"/>
      <c r="CY203" s="2" t="n"/>
      <c r="CZ203" s="2" t="n"/>
      <c r="DA203" s="2" t="n"/>
      <c r="DB203" s="2" t="n"/>
      <c r="DC203" s="2" t="n"/>
      <c r="DD203" s="2" t="n"/>
      <c r="DE203" s="2" t="n"/>
      <c r="DF203" s="2" t="n"/>
      <c r="DG203" s="2" t="n"/>
      <c r="DH203" s="2" t="n"/>
    </row>
    <row r="204" ht="12.75" customFormat="1" customHeight="1" s="76">
      <c r="A204" s="2" t="n"/>
      <c r="B204" s="62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2" t="n"/>
      <c r="AO204" s="2" t="n"/>
      <c r="AP204" s="2" t="n"/>
      <c r="AQ204" s="2" t="n"/>
      <c r="AR204" s="2" t="n"/>
      <c r="AS204" s="2" t="n"/>
      <c r="AT204" s="2" t="n"/>
      <c r="AU204" s="2" t="n"/>
      <c r="AV204" s="2" t="n"/>
      <c r="AW204" s="2" t="n"/>
      <c r="AX204" s="2" t="n"/>
      <c r="AY204" s="2" t="n"/>
      <c r="AZ204" s="2" t="n"/>
      <c r="BA204" s="2" t="n"/>
      <c r="BB204" s="2" t="n"/>
      <c r="BC204" s="2" t="n"/>
      <c r="BD204" s="2" t="n"/>
      <c r="BE204" s="2" t="n"/>
      <c r="BF204" s="2" t="n"/>
      <c r="BG204" s="2" t="n"/>
      <c r="BH204" s="2" t="n"/>
      <c r="BI204" s="2" t="n"/>
      <c r="BJ204" s="2" t="n"/>
      <c r="BK204" s="2" t="n"/>
      <c r="BL204" s="2" t="n"/>
      <c r="BM204" s="2" t="n"/>
      <c r="BN204" s="2" t="n"/>
      <c r="BO204" s="2" t="n"/>
      <c r="BP204" s="2" t="n"/>
      <c r="BQ204" s="2" t="n"/>
      <c r="BR204" s="2" t="n"/>
      <c r="BS204" s="2" t="n"/>
      <c r="BT204" s="2" t="n"/>
      <c r="BU204" s="2" t="n"/>
      <c r="BV204" s="2" t="n"/>
      <c r="BW204" s="2" t="n"/>
      <c r="BX204" s="2" t="n"/>
      <c r="BY204" s="2" t="n"/>
      <c r="BZ204" s="2" t="n"/>
      <c r="CA204" s="2" t="n"/>
      <c r="CB204" s="2" t="n"/>
      <c r="CC204" s="2" t="n"/>
      <c r="CD204" s="2" t="n"/>
      <c r="CE204" s="2" t="n"/>
      <c r="CF204" s="2" t="n"/>
      <c r="CG204" s="2" t="n"/>
      <c r="CH204" s="2" t="n"/>
      <c r="CI204" s="2" t="n"/>
      <c r="CJ204" s="2" t="n"/>
      <c r="CK204" s="2" t="n"/>
      <c r="CL204" s="2" t="n"/>
      <c r="CM204" s="2" t="n"/>
      <c r="CN204" s="2" t="n"/>
      <c r="CO204" s="2" t="n"/>
      <c r="CP204" s="2" t="n"/>
      <c r="CQ204" s="2" t="n"/>
      <c r="CR204" s="2" t="n"/>
      <c r="CS204" s="2" t="n"/>
      <c r="CT204" s="2" t="n"/>
      <c r="CU204" s="2" t="n"/>
      <c r="CV204" s="2" t="n"/>
      <c r="CW204" s="2" t="n"/>
      <c r="CX204" s="2" t="n"/>
      <c r="CY204" s="2" t="n"/>
      <c r="CZ204" s="2" t="n"/>
      <c r="DA204" s="2" t="n"/>
      <c r="DB204" s="2" t="n"/>
      <c r="DC204" s="2" t="n"/>
      <c r="DD204" s="2" t="n"/>
      <c r="DE204" s="2" t="n"/>
      <c r="DF204" s="2" t="n"/>
      <c r="DG204" s="2" t="n"/>
      <c r="DH204" s="2" t="n"/>
    </row>
    <row r="205" ht="12.75" customFormat="1" customHeight="1" s="76">
      <c r="A205" s="2" t="n"/>
      <c r="B205" s="62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2" t="n"/>
      <c r="AO205" s="2" t="n"/>
      <c r="AP205" s="2" t="n"/>
      <c r="AQ205" s="2" t="n"/>
      <c r="AR205" s="2" t="n"/>
      <c r="AS205" s="2" t="n"/>
      <c r="AT205" s="2" t="n"/>
      <c r="AU205" s="2" t="n"/>
      <c r="AV205" s="2" t="n"/>
      <c r="AW205" s="2" t="n"/>
      <c r="AX205" s="2" t="n"/>
      <c r="AY205" s="2" t="n"/>
      <c r="AZ205" s="2" t="n"/>
      <c r="BA205" s="2" t="n"/>
      <c r="BB205" s="2" t="n"/>
      <c r="BC205" s="2" t="n"/>
      <c r="BD205" s="2" t="n"/>
      <c r="BE205" s="2" t="n"/>
      <c r="BF205" s="2" t="n"/>
      <c r="BG205" s="2" t="n"/>
      <c r="BH205" s="2" t="n"/>
      <c r="BI205" s="2" t="n"/>
      <c r="BJ205" s="2" t="n"/>
      <c r="BK205" s="2" t="n"/>
      <c r="BL205" s="2" t="n"/>
      <c r="BM205" s="2" t="n"/>
      <c r="BN205" s="2" t="n"/>
      <c r="BO205" s="2" t="n"/>
      <c r="BP205" s="2" t="n"/>
      <c r="BQ205" s="2" t="n"/>
      <c r="BR205" s="2" t="n"/>
      <c r="BS205" s="2" t="n"/>
      <c r="BT205" s="2" t="n"/>
      <c r="BU205" s="2" t="n"/>
      <c r="BV205" s="2" t="n"/>
      <c r="BW205" s="2" t="n"/>
      <c r="BX205" s="2" t="n"/>
      <c r="BY205" s="2" t="n"/>
      <c r="BZ205" s="2" t="n"/>
      <c r="CA205" s="2" t="n"/>
      <c r="CB205" s="2" t="n"/>
      <c r="CC205" s="2" t="n"/>
      <c r="CD205" s="2" t="n"/>
      <c r="CE205" s="2" t="n"/>
      <c r="CF205" s="2" t="n"/>
      <c r="CG205" s="2" t="n"/>
      <c r="CH205" s="2" t="n"/>
      <c r="CI205" s="2" t="n"/>
      <c r="CJ205" s="2" t="n"/>
      <c r="CK205" s="2" t="n"/>
      <c r="CL205" s="2" t="n"/>
      <c r="CM205" s="2" t="n"/>
      <c r="CN205" s="2" t="n"/>
      <c r="CO205" s="2" t="n"/>
      <c r="CP205" s="2" t="n"/>
      <c r="CQ205" s="2" t="n"/>
      <c r="CR205" s="2" t="n"/>
      <c r="CS205" s="2" t="n"/>
      <c r="CT205" s="2" t="n"/>
      <c r="CU205" s="2" t="n"/>
      <c r="CV205" s="2" t="n"/>
      <c r="CW205" s="2" t="n"/>
      <c r="CX205" s="2" t="n"/>
      <c r="CY205" s="2" t="n"/>
      <c r="CZ205" s="2" t="n"/>
      <c r="DA205" s="2" t="n"/>
      <c r="DB205" s="2" t="n"/>
      <c r="DC205" s="2" t="n"/>
      <c r="DD205" s="2" t="n"/>
      <c r="DE205" s="2" t="n"/>
      <c r="DF205" s="2" t="n"/>
      <c r="DG205" s="2" t="n"/>
      <c r="DH205" s="2" t="n"/>
    </row>
    <row r="206" ht="12.75" customFormat="1" customHeight="1" s="76">
      <c r="A206" s="2" t="n"/>
      <c r="B206" s="62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2" t="n"/>
      <c r="AO206" s="2" t="n"/>
      <c r="AP206" s="2" t="n"/>
      <c r="AQ206" s="2" t="n"/>
      <c r="AR206" s="2" t="n"/>
      <c r="AS206" s="2" t="n"/>
      <c r="AT206" s="2" t="n"/>
      <c r="AU206" s="2" t="n"/>
      <c r="AV206" s="2" t="n"/>
      <c r="AW206" s="2" t="n"/>
      <c r="AX206" s="2" t="n"/>
      <c r="AY206" s="2" t="n"/>
      <c r="AZ206" s="2" t="n"/>
      <c r="BA206" s="2" t="n"/>
      <c r="BB206" s="2" t="n"/>
      <c r="BC206" s="2" t="n"/>
      <c r="BD206" s="2" t="n"/>
      <c r="BE206" s="2" t="n"/>
      <c r="BF206" s="2" t="n"/>
      <c r="BG206" s="2" t="n"/>
      <c r="BH206" s="2" t="n"/>
      <c r="BI206" s="2" t="n"/>
      <c r="BJ206" s="2" t="n"/>
      <c r="BK206" s="2" t="n"/>
      <c r="BL206" s="2" t="n"/>
      <c r="BM206" s="2" t="n"/>
      <c r="BN206" s="2" t="n"/>
      <c r="BO206" s="2" t="n"/>
      <c r="BP206" s="2" t="n"/>
      <c r="BQ206" s="2" t="n"/>
      <c r="BR206" s="2" t="n"/>
      <c r="BS206" s="2" t="n"/>
      <c r="BT206" s="2" t="n"/>
      <c r="BU206" s="2" t="n"/>
      <c r="BV206" s="2" t="n"/>
      <c r="BW206" s="2" t="n"/>
      <c r="BX206" s="2" t="n"/>
      <c r="BY206" s="2" t="n"/>
      <c r="BZ206" s="2" t="n"/>
      <c r="CA206" s="2" t="n"/>
      <c r="CB206" s="2" t="n"/>
      <c r="CC206" s="2" t="n"/>
      <c r="CD206" s="2" t="n"/>
      <c r="CE206" s="2" t="n"/>
      <c r="CF206" s="2" t="n"/>
      <c r="CG206" s="2" t="n"/>
      <c r="CH206" s="2" t="n"/>
      <c r="CI206" s="2" t="n"/>
      <c r="CJ206" s="2" t="n"/>
      <c r="CK206" s="2" t="n"/>
      <c r="CL206" s="2" t="n"/>
      <c r="CM206" s="2" t="n"/>
      <c r="CN206" s="2" t="n"/>
      <c r="CO206" s="2" t="n"/>
      <c r="CP206" s="2" t="n"/>
      <c r="CQ206" s="2" t="n"/>
      <c r="CR206" s="2" t="n"/>
      <c r="CS206" s="2" t="n"/>
      <c r="CT206" s="2" t="n"/>
      <c r="CU206" s="2" t="n"/>
      <c r="CV206" s="2" t="n"/>
      <c r="CW206" s="2" t="n"/>
      <c r="CX206" s="2" t="n"/>
      <c r="CY206" s="2" t="n"/>
      <c r="CZ206" s="2" t="n"/>
      <c r="DA206" s="2" t="n"/>
      <c r="DB206" s="2" t="n"/>
      <c r="DC206" s="2" t="n"/>
      <c r="DD206" s="2" t="n"/>
      <c r="DE206" s="2" t="n"/>
      <c r="DF206" s="2" t="n"/>
      <c r="DG206" s="2" t="n"/>
      <c r="DH206" s="2" t="n"/>
    </row>
    <row r="207" ht="12.75" customFormat="1" customHeight="1" s="76">
      <c r="A207" s="2" t="n"/>
      <c r="B207" s="62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2" t="n"/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/>
      <c r="BB207" s="2" t="n"/>
      <c r="BC207" s="2" t="n"/>
      <c r="BD207" s="2" t="n"/>
      <c r="BE207" s="2" t="n"/>
      <c r="BF207" s="2" t="n"/>
      <c r="BG207" s="2" t="n"/>
      <c r="BH207" s="2" t="n"/>
      <c r="BI207" s="2" t="n"/>
      <c r="BJ207" s="2" t="n"/>
      <c r="BK207" s="2" t="n"/>
      <c r="BL207" s="2" t="n"/>
      <c r="BM207" s="2" t="n"/>
      <c r="BN207" s="2" t="n"/>
      <c r="BO207" s="2" t="n"/>
      <c r="BP207" s="2" t="n"/>
      <c r="BQ207" s="2" t="n"/>
      <c r="BR207" s="2" t="n"/>
      <c r="BS207" s="2" t="n"/>
      <c r="BT207" s="2" t="n"/>
      <c r="BU207" s="2" t="n"/>
      <c r="BV207" s="2" t="n"/>
      <c r="BW207" s="2" t="n"/>
      <c r="BX207" s="2" t="n"/>
      <c r="BY207" s="2" t="n"/>
      <c r="BZ207" s="2" t="n"/>
      <c r="CA207" s="2" t="n"/>
      <c r="CB207" s="2" t="n"/>
      <c r="CC207" s="2" t="n"/>
      <c r="CD207" s="2" t="n"/>
      <c r="CE207" s="2" t="n"/>
      <c r="CF207" s="2" t="n"/>
      <c r="CG207" s="2" t="n"/>
      <c r="CH207" s="2" t="n"/>
      <c r="CI207" s="2" t="n"/>
      <c r="CJ207" s="2" t="n"/>
      <c r="CK207" s="2" t="n"/>
      <c r="CL207" s="2" t="n"/>
      <c r="CM207" s="2" t="n"/>
      <c r="CN207" s="2" t="n"/>
      <c r="CO207" s="2" t="n"/>
      <c r="CP207" s="2" t="n"/>
      <c r="CQ207" s="2" t="n"/>
      <c r="CR207" s="2" t="n"/>
      <c r="CS207" s="2" t="n"/>
      <c r="CT207" s="2" t="n"/>
      <c r="CU207" s="2" t="n"/>
      <c r="CV207" s="2" t="n"/>
      <c r="CW207" s="2" t="n"/>
      <c r="CX207" s="2" t="n"/>
      <c r="CY207" s="2" t="n"/>
      <c r="CZ207" s="2" t="n"/>
      <c r="DA207" s="2" t="n"/>
      <c r="DB207" s="2" t="n"/>
      <c r="DC207" s="2" t="n"/>
      <c r="DD207" s="2" t="n"/>
      <c r="DE207" s="2" t="n"/>
      <c r="DF207" s="2" t="n"/>
      <c r="DG207" s="2" t="n"/>
      <c r="DH207" s="2" t="n"/>
    </row>
    <row r="208" ht="12.75" customFormat="1" customHeight="1" s="76">
      <c r="A208" s="2" t="n"/>
      <c r="B208" s="62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2" t="n"/>
      <c r="AO208" s="2" t="n"/>
      <c r="AP208" s="2" t="n"/>
      <c r="AQ208" s="2" t="n"/>
      <c r="AR208" s="2" t="n"/>
      <c r="AS208" s="2" t="n"/>
      <c r="AT208" s="2" t="n"/>
      <c r="AU208" s="2" t="n"/>
      <c r="AV208" s="2" t="n"/>
      <c r="AW208" s="2" t="n"/>
      <c r="AX208" s="2" t="n"/>
      <c r="AY208" s="2" t="n"/>
      <c r="AZ208" s="2" t="n"/>
      <c r="BA208" s="2" t="n"/>
      <c r="BB208" s="2" t="n"/>
      <c r="BC208" s="2" t="n"/>
      <c r="BD208" s="2" t="n"/>
      <c r="BE208" s="2" t="n"/>
      <c r="BF208" s="2" t="n"/>
      <c r="BG208" s="2" t="n"/>
      <c r="BH208" s="2" t="n"/>
      <c r="BI208" s="2" t="n"/>
      <c r="BJ208" s="2" t="n"/>
      <c r="BK208" s="2" t="n"/>
      <c r="BL208" s="2" t="n"/>
      <c r="BM208" s="2" t="n"/>
      <c r="BN208" s="2" t="n"/>
      <c r="BO208" s="2" t="n"/>
      <c r="BP208" s="2" t="n"/>
      <c r="BQ208" s="2" t="n"/>
      <c r="BR208" s="2" t="n"/>
      <c r="BS208" s="2" t="n"/>
      <c r="BT208" s="2" t="n"/>
      <c r="BU208" s="2" t="n"/>
      <c r="BV208" s="2" t="n"/>
      <c r="BW208" s="2" t="n"/>
      <c r="BX208" s="2" t="n"/>
      <c r="BY208" s="2" t="n"/>
      <c r="BZ208" s="2" t="n"/>
      <c r="CA208" s="2" t="n"/>
      <c r="CB208" s="2" t="n"/>
      <c r="CC208" s="2" t="n"/>
      <c r="CD208" s="2" t="n"/>
      <c r="CE208" s="2" t="n"/>
      <c r="CF208" s="2" t="n"/>
      <c r="CG208" s="2" t="n"/>
      <c r="CH208" s="2" t="n"/>
      <c r="CI208" s="2" t="n"/>
      <c r="CJ208" s="2" t="n"/>
      <c r="CK208" s="2" t="n"/>
      <c r="CL208" s="2" t="n"/>
      <c r="CM208" s="2" t="n"/>
      <c r="CN208" s="2" t="n"/>
      <c r="CO208" s="2" t="n"/>
      <c r="CP208" s="2" t="n"/>
      <c r="CQ208" s="2" t="n"/>
      <c r="CR208" s="2" t="n"/>
      <c r="CS208" s="2" t="n"/>
      <c r="CT208" s="2" t="n"/>
      <c r="CU208" s="2" t="n"/>
      <c r="CV208" s="2" t="n"/>
      <c r="CW208" s="2" t="n"/>
      <c r="CX208" s="2" t="n"/>
      <c r="CY208" s="2" t="n"/>
      <c r="CZ208" s="2" t="n"/>
      <c r="DA208" s="2" t="n"/>
      <c r="DB208" s="2" t="n"/>
      <c r="DC208" s="2" t="n"/>
      <c r="DD208" s="2" t="n"/>
      <c r="DE208" s="2" t="n"/>
      <c r="DF208" s="2" t="n"/>
      <c r="DG208" s="2" t="n"/>
      <c r="DH208" s="2" t="n"/>
    </row>
    <row r="209" ht="12.75" customFormat="1" customHeight="1" s="76">
      <c r="A209" s="2" t="n"/>
      <c r="B209" s="62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2" t="n"/>
      <c r="AO209" s="2" t="n"/>
      <c r="AP209" s="2" t="n"/>
      <c r="AQ209" s="2" t="n"/>
      <c r="AR209" s="2" t="n"/>
      <c r="AS209" s="2" t="n"/>
      <c r="AT209" s="2" t="n"/>
      <c r="AU209" s="2" t="n"/>
      <c r="AV209" s="2" t="n"/>
      <c r="AW209" s="2" t="n"/>
      <c r="AX209" s="2" t="n"/>
      <c r="AY209" s="2" t="n"/>
      <c r="AZ209" s="2" t="n"/>
      <c r="BA209" s="2" t="n"/>
      <c r="BB209" s="2" t="n"/>
      <c r="BC209" s="2" t="n"/>
      <c r="BD209" s="2" t="n"/>
      <c r="BE209" s="2" t="n"/>
      <c r="BF209" s="2" t="n"/>
      <c r="BG209" s="2" t="n"/>
      <c r="BH209" s="2" t="n"/>
      <c r="BI209" s="2" t="n"/>
      <c r="BJ209" s="2" t="n"/>
      <c r="BK209" s="2" t="n"/>
      <c r="BL209" s="2" t="n"/>
      <c r="BM209" s="2" t="n"/>
      <c r="BN209" s="2" t="n"/>
      <c r="BO209" s="2" t="n"/>
      <c r="BP209" s="2" t="n"/>
      <c r="BQ209" s="2" t="n"/>
      <c r="BR209" s="2" t="n"/>
      <c r="BS209" s="2" t="n"/>
      <c r="BT209" s="2" t="n"/>
      <c r="BU209" s="2" t="n"/>
      <c r="BV209" s="2" t="n"/>
      <c r="BW209" s="2" t="n"/>
      <c r="BX209" s="2" t="n"/>
      <c r="BY209" s="2" t="n"/>
      <c r="BZ209" s="2" t="n"/>
      <c r="CA209" s="2" t="n"/>
      <c r="CB209" s="2" t="n"/>
      <c r="CC209" s="2" t="n"/>
      <c r="CD209" s="2" t="n"/>
      <c r="CE209" s="2" t="n"/>
      <c r="CF209" s="2" t="n"/>
      <c r="CG209" s="2" t="n"/>
      <c r="CH209" s="2" t="n"/>
      <c r="CI209" s="2" t="n"/>
      <c r="CJ209" s="2" t="n"/>
      <c r="CK209" s="2" t="n"/>
      <c r="CL209" s="2" t="n"/>
      <c r="CM209" s="2" t="n"/>
      <c r="CN209" s="2" t="n"/>
      <c r="CO209" s="2" t="n"/>
      <c r="CP209" s="2" t="n"/>
      <c r="CQ209" s="2" t="n"/>
      <c r="CR209" s="2" t="n"/>
      <c r="CS209" s="2" t="n"/>
      <c r="CT209" s="2" t="n"/>
      <c r="CU209" s="2" t="n"/>
      <c r="CV209" s="2" t="n"/>
      <c r="CW209" s="2" t="n"/>
      <c r="CX209" s="2" t="n"/>
      <c r="CY209" s="2" t="n"/>
      <c r="CZ209" s="2" t="n"/>
      <c r="DA209" s="2" t="n"/>
      <c r="DB209" s="2" t="n"/>
      <c r="DC209" s="2" t="n"/>
      <c r="DD209" s="2" t="n"/>
      <c r="DE209" s="2" t="n"/>
      <c r="DF209" s="2" t="n"/>
      <c r="DG209" s="2" t="n"/>
      <c r="DH209" s="2" t="n"/>
    </row>
    <row r="210" ht="12.75" customFormat="1" customHeight="1" s="76">
      <c r="A210" s="2" t="n"/>
      <c r="B210" s="62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2" t="n"/>
      <c r="AO210" s="2" t="n"/>
      <c r="AP210" s="2" t="n"/>
      <c r="AQ210" s="2" t="n"/>
      <c r="AR210" s="2" t="n"/>
      <c r="AS210" s="2" t="n"/>
      <c r="AT210" s="2" t="n"/>
      <c r="AU210" s="2" t="n"/>
      <c r="AV210" s="2" t="n"/>
      <c r="AW210" s="2" t="n"/>
      <c r="AX210" s="2" t="n"/>
      <c r="AY210" s="2" t="n"/>
      <c r="AZ210" s="2" t="n"/>
      <c r="BA210" s="2" t="n"/>
      <c r="BB210" s="2" t="n"/>
      <c r="BC210" s="2" t="n"/>
      <c r="BD210" s="2" t="n"/>
      <c r="BE210" s="2" t="n"/>
      <c r="BF210" s="2" t="n"/>
      <c r="BG210" s="2" t="n"/>
      <c r="BH210" s="2" t="n"/>
      <c r="BI210" s="2" t="n"/>
      <c r="BJ210" s="2" t="n"/>
      <c r="BK210" s="2" t="n"/>
      <c r="BL210" s="2" t="n"/>
      <c r="BM210" s="2" t="n"/>
      <c r="BN210" s="2" t="n"/>
      <c r="BO210" s="2" t="n"/>
      <c r="BP210" s="2" t="n"/>
      <c r="BQ210" s="2" t="n"/>
      <c r="BR210" s="2" t="n"/>
      <c r="BS210" s="2" t="n"/>
      <c r="BT210" s="2" t="n"/>
      <c r="BU210" s="2" t="n"/>
      <c r="BV210" s="2" t="n"/>
      <c r="BW210" s="2" t="n"/>
      <c r="BX210" s="2" t="n"/>
      <c r="BY210" s="2" t="n"/>
      <c r="BZ210" s="2" t="n"/>
      <c r="CA210" s="2" t="n"/>
      <c r="CB210" s="2" t="n"/>
      <c r="CC210" s="2" t="n"/>
      <c r="CD210" s="2" t="n"/>
      <c r="CE210" s="2" t="n"/>
      <c r="CF210" s="2" t="n"/>
      <c r="CG210" s="2" t="n"/>
      <c r="CH210" s="2" t="n"/>
      <c r="CI210" s="2" t="n"/>
      <c r="CJ210" s="2" t="n"/>
      <c r="CK210" s="2" t="n"/>
      <c r="CL210" s="2" t="n"/>
      <c r="CM210" s="2" t="n"/>
      <c r="CN210" s="2" t="n"/>
      <c r="CO210" s="2" t="n"/>
      <c r="CP210" s="2" t="n"/>
      <c r="CQ210" s="2" t="n"/>
      <c r="CR210" s="2" t="n"/>
      <c r="CS210" s="2" t="n"/>
      <c r="CT210" s="2" t="n"/>
      <c r="CU210" s="2" t="n"/>
      <c r="CV210" s="2" t="n"/>
      <c r="CW210" s="2" t="n"/>
      <c r="CX210" s="2" t="n"/>
      <c r="CY210" s="2" t="n"/>
      <c r="CZ210" s="2" t="n"/>
      <c r="DA210" s="2" t="n"/>
      <c r="DB210" s="2" t="n"/>
      <c r="DC210" s="2" t="n"/>
      <c r="DD210" s="2" t="n"/>
      <c r="DE210" s="2" t="n"/>
      <c r="DF210" s="2" t="n"/>
      <c r="DG210" s="2" t="n"/>
      <c r="DH210" s="2" t="n"/>
    </row>
    <row r="211" ht="12.75" customFormat="1" customHeight="1" s="76">
      <c r="A211" s="2" t="n"/>
      <c r="B211" s="62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2" t="n"/>
      <c r="AO211" s="2" t="n"/>
      <c r="AP211" s="2" t="n"/>
      <c r="AQ211" s="2" t="n"/>
      <c r="AR211" s="2" t="n"/>
      <c r="AS211" s="2" t="n"/>
      <c r="AT211" s="2" t="n"/>
      <c r="AU211" s="2" t="n"/>
      <c r="AV211" s="2" t="n"/>
      <c r="AW211" s="2" t="n"/>
      <c r="AX211" s="2" t="n"/>
      <c r="AY211" s="2" t="n"/>
      <c r="AZ211" s="2" t="n"/>
      <c r="BA211" s="2" t="n"/>
      <c r="BB211" s="2" t="n"/>
      <c r="BC211" s="2" t="n"/>
      <c r="BD211" s="2" t="n"/>
      <c r="BE211" s="2" t="n"/>
      <c r="BF211" s="2" t="n"/>
      <c r="BG211" s="2" t="n"/>
      <c r="BH211" s="2" t="n"/>
      <c r="BI211" s="2" t="n"/>
      <c r="BJ211" s="2" t="n"/>
      <c r="BK211" s="2" t="n"/>
      <c r="BL211" s="2" t="n"/>
      <c r="BM211" s="2" t="n"/>
      <c r="BN211" s="2" t="n"/>
      <c r="BO211" s="2" t="n"/>
      <c r="BP211" s="2" t="n"/>
      <c r="BQ211" s="2" t="n"/>
      <c r="BR211" s="2" t="n"/>
      <c r="BS211" s="2" t="n"/>
      <c r="BT211" s="2" t="n"/>
      <c r="BU211" s="2" t="n"/>
      <c r="BV211" s="2" t="n"/>
      <c r="BW211" s="2" t="n"/>
      <c r="BX211" s="2" t="n"/>
      <c r="BY211" s="2" t="n"/>
      <c r="BZ211" s="2" t="n"/>
      <c r="CA211" s="2" t="n"/>
      <c r="CB211" s="2" t="n"/>
      <c r="CC211" s="2" t="n"/>
      <c r="CD211" s="2" t="n"/>
      <c r="CE211" s="2" t="n"/>
      <c r="CF211" s="2" t="n"/>
      <c r="CG211" s="2" t="n"/>
      <c r="CH211" s="2" t="n"/>
      <c r="CI211" s="2" t="n"/>
      <c r="CJ211" s="2" t="n"/>
      <c r="CK211" s="2" t="n"/>
      <c r="CL211" s="2" t="n"/>
      <c r="CM211" s="2" t="n"/>
      <c r="CN211" s="2" t="n"/>
      <c r="CO211" s="2" t="n"/>
      <c r="CP211" s="2" t="n"/>
      <c r="CQ211" s="2" t="n"/>
      <c r="CR211" s="2" t="n"/>
      <c r="CS211" s="2" t="n"/>
      <c r="CT211" s="2" t="n"/>
      <c r="CU211" s="2" t="n"/>
      <c r="CV211" s="2" t="n"/>
      <c r="CW211" s="2" t="n"/>
      <c r="CX211" s="2" t="n"/>
      <c r="CY211" s="2" t="n"/>
      <c r="CZ211" s="2" t="n"/>
      <c r="DA211" s="2" t="n"/>
      <c r="DB211" s="2" t="n"/>
      <c r="DC211" s="2" t="n"/>
      <c r="DD211" s="2" t="n"/>
      <c r="DE211" s="2" t="n"/>
      <c r="DF211" s="2" t="n"/>
      <c r="DG211" s="2" t="n"/>
      <c r="DH211" s="2" t="n"/>
    </row>
    <row r="212" ht="12.75" customFormat="1" customHeight="1" s="76">
      <c r="A212" s="2" t="n"/>
      <c r="B212" s="62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2" t="n"/>
      <c r="AO212" s="2" t="n"/>
      <c r="AP212" s="2" t="n"/>
      <c r="AQ212" s="2" t="n"/>
      <c r="AR212" s="2" t="n"/>
      <c r="AS212" s="2" t="n"/>
      <c r="AT212" s="2" t="n"/>
      <c r="AU212" s="2" t="n"/>
      <c r="AV212" s="2" t="n"/>
      <c r="AW212" s="2" t="n"/>
      <c r="AX212" s="2" t="n"/>
      <c r="AY212" s="2" t="n"/>
      <c r="AZ212" s="2" t="n"/>
      <c r="BA212" s="2" t="n"/>
      <c r="BB212" s="2" t="n"/>
      <c r="BC212" s="2" t="n"/>
      <c r="BD212" s="2" t="n"/>
      <c r="BE212" s="2" t="n"/>
      <c r="BF212" s="2" t="n"/>
      <c r="BG212" s="2" t="n"/>
      <c r="BH212" s="2" t="n"/>
      <c r="BI212" s="2" t="n"/>
      <c r="BJ212" s="2" t="n"/>
      <c r="BK212" s="2" t="n"/>
      <c r="BL212" s="2" t="n"/>
      <c r="BM212" s="2" t="n"/>
      <c r="BN212" s="2" t="n"/>
      <c r="BO212" s="2" t="n"/>
      <c r="BP212" s="2" t="n"/>
      <c r="BQ212" s="2" t="n"/>
      <c r="BR212" s="2" t="n"/>
      <c r="BS212" s="2" t="n"/>
      <c r="BT212" s="2" t="n"/>
      <c r="BU212" s="2" t="n"/>
      <c r="BV212" s="2" t="n"/>
      <c r="BW212" s="2" t="n"/>
      <c r="BX212" s="2" t="n"/>
      <c r="BY212" s="2" t="n"/>
      <c r="BZ212" s="2" t="n"/>
      <c r="CA212" s="2" t="n"/>
      <c r="CB212" s="2" t="n"/>
      <c r="CC212" s="2" t="n"/>
      <c r="CD212" s="2" t="n"/>
      <c r="CE212" s="2" t="n"/>
      <c r="CF212" s="2" t="n"/>
      <c r="CG212" s="2" t="n"/>
      <c r="CH212" s="2" t="n"/>
      <c r="CI212" s="2" t="n"/>
      <c r="CJ212" s="2" t="n"/>
      <c r="CK212" s="2" t="n"/>
      <c r="CL212" s="2" t="n"/>
      <c r="CM212" s="2" t="n"/>
      <c r="CN212" s="2" t="n"/>
      <c r="CO212" s="2" t="n"/>
      <c r="CP212" s="2" t="n"/>
      <c r="CQ212" s="2" t="n"/>
      <c r="CR212" s="2" t="n"/>
      <c r="CS212" s="2" t="n"/>
      <c r="CT212" s="2" t="n"/>
      <c r="CU212" s="2" t="n"/>
      <c r="CV212" s="2" t="n"/>
      <c r="CW212" s="2" t="n"/>
      <c r="CX212" s="2" t="n"/>
      <c r="CY212" s="2" t="n"/>
      <c r="CZ212" s="2" t="n"/>
      <c r="DA212" s="2" t="n"/>
      <c r="DB212" s="2" t="n"/>
      <c r="DC212" s="2" t="n"/>
      <c r="DD212" s="2" t="n"/>
      <c r="DE212" s="2" t="n"/>
      <c r="DF212" s="2" t="n"/>
      <c r="DG212" s="2" t="n"/>
      <c r="DH212" s="2" t="n"/>
    </row>
    <row r="213" ht="12.75" customFormat="1" customHeight="1" s="76">
      <c r="A213" s="2" t="n"/>
      <c r="B213" s="62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2" t="n"/>
      <c r="AO213" s="2" t="n"/>
      <c r="AP213" s="2" t="n"/>
      <c r="AQ213" s="2" t="n"/>
      <c r="AR213" s="2" t="n"/>
      <c r="AS213" s="2" t="n"/>
      <c r="AT213" s="2" t="n"/>
      <c r="AU213" s="2" t="n"/>
      <c r="AV213" s="2" t="n"/>
      <c r="AW213" s="2" t="n"/>
      <c r="AX213" s="2" t="n"/>
      <c r="AY213" s="2" t="n"/>
      <c r="AZ213" s="2" t="n"/>
      <c r="BA213" s="2" t="n"/>
      <c r="BB213" s="2" t="n"/>
      <c r="BC213" s="2" t="n"/>
      <c r="BD213" s="2" t="n"/>
      <c r="BE213" s="2" t="n"/>
      <c r="BF213" s="2" t="n"/>
      <c r="BG213" s="2" t="n"/>
      <c r="BH213" s="2" t="n"/>
      <c r="BI213" s="2" t="n"/>
      <c r="BJ213" s="2" t="n"/>
      <c r="BK213" s="2" t="n"/>
      <c r="BL213" s="2" t="n"/>
      <c r="BM213" s="2" t="n"/>
      <c r="BN213" s="2" t="n"/>
      <c r="BO213" s="2" t="n"/>
      <c r="BP213" s="2" t="n"/>
      <c r="BQ213" s="2" t="n"/>
      <c r="BR213" s="2" t="n"/>
      <c r="BS213" s="2" t="n"/>
      <c r="BT213" s="2" t="n"/>
      <c r="BU213" s="2" t="n"/>
      <c r="BV213" s="2" t="n"/>
      <c r="BW213" s="2" t="n"/>
      <c r="BX213" s="2" t="n"/>
      <c r="BY213" s="2" t="n"/>
      <c r="BZ213" s="2" t="n"/>
      <c r="CA213" s="2" t="n"/>
      <c r="CB213" s="2" t="n"/>
      <c r="CC213" s="2" t="n"/>
      <c r="CD213" s="2" t="n"/>
      <c r="CE213" s="2" t="n"/>
      <c r="CF213" s="2" t="n"/>
      <c r="CG213" s="2" t="n"/>
      <c r="CH213" s="2" t="n"/>
      <c r="CI213" s="2" t="n"/>
      <c r="CJ213" s="2" t="n"/>
      <c r="CK213" s="2" t="n"/>
      <c r="CL213" s="2" t="n"/>
      <c r="CM213" s="2" t="n"/>
      <c r="CN213" s="2" t="n"/>
      <c r="CO213" s="2" t="n"/>
      <c r="CP213" s="2" t="n"/>
      <c r="CQ213" s="2" t="n"/>
      <c r="CR213" s="2" t="n"/>
      <c r="CS213" s="2" t="n"/>
      <c r="CT213" s="2" t="n"/>
      <c r="CU213" s="2" t="n"/>
      <c r="CV213" s="2" t="n"/>
      <c r="CW213" s="2" t="n"/>
      <c r="CX213" s="2" t="n"/>
      <c r="CY213" s="2" t="n"/>
      <c r="CZ213" s="2" t="n"/>
      <c r="DA213" s="2" t="n"/>
      <c r="DB213" s="2" t="n"/>
      <c r="DC213" s="2" t="n"/>
      <c r="DD213" s="2" t="n"/>
      <c r="DE213" s="2" t="n"/>
      <c r="DF213" s="2" t="n"/>
      <c r="DG213" s="2" t="n"/>
      <c r="DH213" s="2" t="n"/>
    </row>
    <row r="214" ht="12.75" customFormat="1" customHeight="1" s="76">
      <c r="A214" s="2" t="n"/>
      <c r="B214" s="62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2" t="n"/>
      <c r="AO214" s="2" t="n"/>
      <c r="AP214" s="2" t="n"/>
      <c r="AQ214" s="2" t="n"/>
      <c r="AR214" s="2" t="n"/>
      <c r="AS214" s="2" t="n"/>
      <c r="AT214" s="2" t="n"/>
      <c r="AU214" s="2" t="n"/>
      <c r="AV214" s="2" t="n"/>
      <c r="AW214" s="2" t="n"/>
      <c r="AX214" s="2" t="n"/>
      <c r="AY214" s="2" t="n"/>
      <c r="AZ214" s="2" t="n"/>
      <c r="BA214" s="2" t="n"/>
      <c r="BB214" s="2" t="n"/>
      <c r="BC214" s="2" t="n"/>
      <c r="BD214" s="2" t="n"/>
      <c r="BE214" s="2" t="n"/>
      <c r="BF214" s="2" t="n"/>
      <c r="BG214" s="2" t="n"/>
      <c r="BH214" s="2" t="n"/>
      <c r="BI214" s="2" t="n"/>
      <c r="BJ214" s="2" t="n"/>
      <c r="BK214" s="2" t="n"/>
      <c r="BL214" s="2" t="n"/>
      <c r="BM214" s="2" t="n"/>
      <c r="BN214" s="2" t="n"/>
      <c r="BO214" s="2" t="n"/>
      <c r="BP214" s="2" t="n"/>
      <c r="BQ214" s="2" t="n"/>
      <c r="BR214" s="2" t="n"/>
      <c r="BS214" s="2" t="n"/>
      <c r="BT214" s="2" t="n"/>
      <c r="BU214" s="2" t="n"/>
      <c r="BV214" s="2" t="n"/>
      <c r="BW214" s="2" t="n"/>
      <c r="BX214" s="2" t="n"/>
      <c r="BY214" s="2" t="n"/>
      <c r="BZ214" s="2" t="n"/>
      <c r="CA214" s="2" t="n"/>
      <c r="CB214" s="2" t="n"/>
      <c r="CC214" s="2" t="n"/>
      <c r="CD214" s="2" t="n"/>
      <c r="CE214" s="2" t="n"/>
      <c r="CF214" s="2" t="n"/>
      <c r="CG214" s="2" t="n"/>
      <c r="CH214" s="2" t="n"/>
      <c r="CI214" s="2" t="n"/>
      <c r="CJ214" s="2" t="n"/>
      <c r="CK214" s="2" t="n"/>
      <c r="CL214" s="2" t="n"/>
      <c r="CM214" s="2" t="n"/>
      <c r="CN214" s="2" t="n"/>
      <c r="CO214" s="2" t="n"/>
      <c r="CP214" s="2" t="n"/>
      <c r="CQ214" s="2" t="n"/>
      <c r="CR214" s="2" t="n"/>
      <c r="CS214" s="2" t="n"/>
      <c r="CT214" s="2" t="n"/>
      <c r="CU214" s="2" t="n"/>
      <c r="CV214" s="2" t="n"/>
      <c r="CW214" s="2" t="n"/>
      <c r="CX214" s="2" t="n"/>
      <c r="CY214" s="2" t="n"/>
      <c r="CZ214" s="2" t="n"/>
      <c r="DA214" s="2" t="n"/>
      <c r="DB214" s="2" t="n"/>
      <c r="DC214" s="2" t="n"/>
      <c r="DD214" s="2" t="n"/>
      <c r="DE214" s="2" t="n"/>
      <c r="DF214" s="2" t="n"/>
      <c r="DG214" s="2" t="n"/>
      <c r="DH214" s="2" t="n"/>
    </row>
    <row r="215" ht="12.75" customFormat="1" customHeight="1" s="76">
      <c r="A215" s="2" t="n"/>
      <c r="B215" s="62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2" t="n"/>
      <c r="AO215" s="2" t="n"/>
      <c r="AP215" s="2" t="n"/>
      <c r="AQ215" s="2" t="n"/>
      <c r="AR215" s="2" t="n"/>
      <c r="AS215" s="2" t="n"/>
      <c r="AT215" s="2" t="n"/>
      <c r="AU215" s="2" t="n"/>
      <c r="AV215" s="2" t="n"/>
      <c r="AW215" s="2" t="n"/>
      <c r="AX215" s="2" t="n"/>
      <c r="AY215" s="2" t="n"/>
      <c r="AZ215" s="2" t="n"/>
      <c r="BA215" s="2" t="n"/>
      <c r="BB215" s="2" t="n"/>
      <c r="BC215" s="2" t="n"/>
      <c r="BD215" s="2" t="n"/>
      <c r="BE215" s="2" t="n"/>
      <c r="BF215" s="2" t="n"/>
      <c r="BG215" s="2" t="n"/>
      <c r="BH215" s="2" t="n"/>
      <c r="BI215" s="2" t="n"/>
      <c r="BJ215" s="2" t="n"/>
      <c r="BK215" s="2" t="n"/>
      <c r="BL215" s="2" t="n"/>
      <c r="BM215" s="2" t="n"/>
      <c r="BN215" s="2" t="n"/>
      <c r="BO215" s="2" t="n"/>
      <c r="BP215" s="2" t="n"/>
      <c r="BQ215" s="2" t="n"/>
      <c r="BR215" s="2" t="n"/>
      <c r="BS215" s="2" t="n"/>
      <c r="BT215" s="2" t="n"/>
      <c r="BU215" s="2" t="n"/>
      <c r="BV215" s="2" t="n"/>
      <c r="BW215" s="2" t="n"/>
      <c r="BX215" s="2" t="n"/>
      <c r="BY215" s="2" t="n"/>
      <c r="BZ215" s="2" t="n"/>
      <c r="CA215" s="2" t="n"/>
      <c r="CB215" s="2" t="n"/>
      <c r="CC215" s="2" t="n"/>
      <c r="CD215" s="2" t="n"/>
      <c r="CE215" s="2" t="n"/>
      <c r="CF215" s="2" t="n"/>
      <c r="CG215" s="2" t="n"/>
      <c r="CH215" s="2" t="n"/>
      <c r="CI215" s="2" t="n"/>
      <c r="CJ215" s="2" t="n"/>
      <c r="CK215" s="2" t="n"/>
      <c r="CL215" s="2" t="n"/>
      <c r="CM215" s="2" t="n"/>
      <c r="CN215" s="2" t="n"/>
      <c r="CO215" s="2" t="n"/>
      <c r="CP215" s="2" t="n"/>
      <c r="CQ215" s="2" t="n"/>
      <c r="CR215" s="2" t="n"/>
      <c r="CS215" s="2" t="n"/>
      <c r="CT215" s="2" t="n"/>
      <c r="CU215" s="2" t="n"/>
      <c r="CV215" s="2" t="n"/>
      <c r="CW215" s="2" t="n"/>
      <c r="CX215" s="2" t="n"/>
      <c r="CY215" s="2" t="n"/>
      <c r="CZ215" s="2" t="n"/>
      <c r="DA215" s="2" t="n"/>
      <c r="DB215" s="2" t="n"/>
      <c r="DC215" s="2" t="n"/>
      <c r="DD215" s="2" t="n"/>
      <c r="DE215" s="2" t="n"/>
      <c r="DF215" s="2" t="n"/>
      <c r="DG215" s="2" t="n"/>
      <c r="DH215" s="2" t="n"/>
    </row>
    <row r="216" ht="12.75" customFormat="1" customHeight="1" s="76">
      <c r="A216" s="2" t="n"/>
      <c r="B216" s="62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2" t="n"/>
      <c r="AO216" s="2" t="n"/>
      <c r="AP216" s="2" t="n"/>
      <c r="AQ216" s="2" t="n"/>
      <c r="AR216" s="2" t="n"/>
      <c r="AS216" s="2" t="n"/>
      <c r="AT216" s="2" t="n"/>
      <c r="AU216" s="2" t="n"/>
      <c r="AV216" s="2" t="n"/>
      <c r="AW216" s="2" t="n"/>
      <c r="AX216" s="2" t="n"/>
      <c r="AY216" s="2" t="n"/>
      <c r="AZ216" s="2" t="n"/>
      <c r="BA216" s="2" t="n"/>
      <c r="BB216" s="2" t="n"/>
      <c r="BC216" s="2" t="n"/>
      <c r="BD216" s="2" t="n"/>
      <c r="BE216" s="2" t="n"/>
      <c r="BF216" s="2" t="n"/>
      <c r="BG216" s="2" t="n"/>
      <c r="BH216" s="2" t="n"/>
      <c r="BI216" s="2" t="n"/>
      <c r="BJ216" s="2" t="n"/>
      <c r="BK216" s="2" t="n"/>
      <c r="BL216" s="2" t="n"/>
      <c r="BM216" s="2" t="n"/>
      <c r="BN216" s="2" t="n"/>
      <c r="BO216" s="2" t="n"/>
      <c r="BP216" s="2" t="n"/>
      <c r="BQ216" s="2" t="n"/>
      <c r="BR216" s="2" t="n"/>
      <c r="BS216" s="2" t="n"/>
      <c r="BT216" s="2" t="n"/>
      <c r="BU216" s="2" t="n"/>
      <c r="BV216" s="2" t="n"/>
      <c r="BW216" s="2" t="n"/>
      <c r="BX216" s="2" t="n"/>
      <c r="BY216" s="2" t="n"/>
      <c r="BZ216" s="2" t="n"/>
      <c r="CA216" s="2" t="n"/>
      <c r="CB216" s="2" t="n"/>
      <c r="CC216" s="2" t="n"/>
      <c r="CD216" s="2" t="n"/>
      <c r="CE216" s="2" t="n"/>
      <c r="CF216" s="2" t="n"/>
      <c r="CG216" s="2" t="n"/>
      <c r="CH216" s="2" t="n"/>
      <c r="CI216" s="2" t="n"/>
      <c r="CJ216" s="2" t="n"/>
      <c r="CK216" s="2" t="n"/>
      <c r="CL216" s="2" t="n"/>
      <c r="CM216" s="2" t="n"/>
      <c r="CN216" s="2" t="n"/>
      <c r="CO216" s="2" t="n"/>
      <c r="CP216" s="2" t="n"/>
      <c r="CQ216" s="2" t="n"/>
      <c r="CR216" s="2" t="n"/>
      <c r="CS216" s="2" t="n"/>
      <c r="CT216" s="2" t="n"/>
      <c r="CU216" s="2" t="n"/>
      <c r="CV216" s="2" t="n"/>
      <c r="CW216" s="2" t="n"/>
      <c r="CX216" s="2" t="n"/>
      <c r="CY216" s="2" t="n"/>
      <c r="CZ216" s="2" t="n"/>
      <c r="DA216" s="2" t="n"/>
      <c r="DB216" s="2" t="n"/>
      <c r="DC216" s="2" t="n"/>
      <c r="DD216" s="2" t="n"/>
      <c r="DE216" s="2" t="n"/>
      <c r="DF216" s="2" t="n"/>
      <c r="DG216" s="2" t="n"/>
      <c r="DH216" s="2" t="n"/>
    </row>
    <row r="217" ht="12.75" customFormat="1" customHeight="1" s="76">
      <c r="A217" s="2" t="n"/>
      <c r="B217" s="62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2" t="n"/>
      <c r="AO217" s="2" t="n"/>
      <c r="AP217" s="2" t="n"/>
      <c r="AQ217" s="2" t="n"/>
      <c r="AR217" s="2" t="n"/>
      <c r="AS217" s="2" t="n"/>
      <c r="AT217" s="2" t="n"/>
      <c r="AU217" s="2" t="n"/>
      <c r="AV217" s="2" t="n"/>
      <c r="AW217" s="2" t="n"/>
      <c r="AX217" s="2" t="n"/>
      <c r="AY217" s="2" t="n"/>
      <c r="AZ217" s="2" t="n"/>
      <c r="BA217" s="2" t="n"/>
      <c r="BB217" s="2" t="n"/>
      <c r="BC217" s="2" t="n"/>
      <c r="BD217" s="2" t="n"/>
      <c r="BE217" s="2" t="n"/>
      <c r="BF217" s="2" t="n"/>
      <c r="BG217" s="2" t="n"/>
      <c r="BH217" s="2" t="n"/>
      <c r="BI217" s="2" t="n"/>
      <c r="BJ217" s="2" t="n"/>
      <c r="BK217" s="2" t="n"/>
      <c r="BL217" s="2" t="n"/>
      <c r="BM217" s="2" t="n"/>
      <c r="BN217" s="2" t="n"/>
      <c r="BO217" s="2" t="n"/>
      <c r="BP217" s="2" t="n"/>
      <c r="BQ217" s="2" t="n"/>
      <c r="BR217" s="2" t="n"/>
      <c r="BS217" s="2" t="n"/>
      <c r="BT217" s="2" t="n"/>
      <c r="BU217" s="2" t="n"/>
      <c r="BV217" s="2" t="n"/>
      <c r="BW217" s="2" t="n"/>
      <c r="BX217" s="2" t="n"/>
      <c r="BY217" s="2" t="n"/>
      <c r="BZ217" s="2" t="n"/>
      <c r="CA217" s="2" t="n"/>
      <c r="CB217" s="2" t="n"/>
      <c r="CC217" s="2" t="n"/>
      <c r="CD217" s="2" t="n"/>
      <c r="CE217" s="2" t="n"/>
      <c r="CF217" s="2" t="n"/>
      <c r="CG217" s="2" t="n"/>
      <c r="CH217" s="2" t="n"/>
      <c r="CI217" s="2" t="n"/>
      <c r="CJ217" s="2" t="n"/>
      <c r="CK217" s="2" t="n"/>
      <c r="CL217" s="2" t="n"/>
      <c r="CM217" s="2" t="n"/>
      <c r="CN217" s="2" t="n"/>
      <c r="CO217" s="2" t="n"/>
      <c r="CP217" s="2" t="n"/>
      <c r="CQ217" s="2" t="n"/>
      <c r="CR217" s="2" t="n"/>
      <c r="CS217" s="2" t="n"/>
      <c r="CT217" s="2" t="n"/>
      <c r="CU217" s="2" t="n"/>
      <c r="CV217" s="2" t="n"/>
      <c r="CW217" s="2" t="n"/>
      <c r="CX217" s="2" t="n"/>
      <c r="CY217" s="2" t="n"/>
      <c r="CZ217" s="2" t="n"/>
      <c r="DA217" s="2" t="n"/>
      <c r="DB217" s="2" t="n"/>
      <c r="DC217" s="2" t="n"/>
      <c r="DD217" s="2" t="n"/>
      <c r="DE217" s="2" t="n"/>
      <c r="DF217" s="2" t="n"/>
      <c r="DG217" s="2" t="n"/>
      <c r="DH217" s="2" t="n"/>
    </row>
    <row r="218" ht="12.75" customFormat="1" customHeight="1" s="76">
      <c r="A218" s="2" t="n"/>
      <c r="B218" s="62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2" t="n"/>
      <c r="AO218" s="2" t="n"/>
      <c r="AP218" s="2" t="n"/>
      <c r="AQ218" s="2" t="n"/>
      <c r="AR218" s="2" t="n"/>
      <c r="AS218" s="2" t="n"/>
      <c r="AT218" s="2" t="n"/>
      <c r="AU218" s="2" t="n"/>
      <c r="AV218" s="2" t="n"/>
      <c r="AW218" s="2" t="n"/>
      <c r="AX218" s="2" t="n"/>
      <c r="AY218" s="2" t="n"/>
      <c r="AZ218" s="2" t="n"/>
      <c r="BA218" s="2" t="n"/>
      <c r="BB218" s="2" t="n"/>
      <c r="BC218" s="2" t="n"/>
      <c r="BD218" s="2" t="n"/>
      <c r="BE218" s="2" t="n"/>
      <c r="BF218" s="2" t="n"/>
      <c r="BG218" s="2" t="n"/>
      <c r="BH218" s="2" t="n"/>
      <c r="BI218" s="2" t="n"/>
      <c r="BJ218" s="2" t="n"/>
      <c r="BK218" s="2" t="n"/>
      <c r="BL218" s="2" t="n"/>
      <c r="BM218" s="2" t="n"/>
      <c r="BN218" s="2" t="n"/>
      <c r="BO218" s="2" t="n"/>
      <c r="BP218" s="2" t="n"/>
      <c r="BQ218" s="2" t="n"/>
      <c r="BR218" s="2" t="n"/>
      <c r="BS218" s="2" t="n"/>
      <c r="BT218" s="2" t="n"/>
      <c r="BU218" s="2" t="n"/>
      <c r="BV218" s="2" t="n"/>
      <c r="BW218" s="2" t="n"/>
      <c r="BX218" s="2" t="n"/>
      <c r="BY218" s="2" t="n"/>
      <c r="BZ218" s="2" t="n"/>
      <c r="CA218" s="2" t="n"/>
      <c r="CB218" s="2" t="n"/>
      <c r="CC218" s="2" t="n"/>
      <c r="CD218" s="2" t="n"/>
      <c r="CE218" s="2" t="n"/>
      <c r="CF218" s="2" t="n"/>
      <c r="CG218" s="2" t="n"/>
      <c r="CH218" s="2" t="n"/>
      <c r="CI218" s="2" t="n"/>
      <c r="CJ218" s="2" t="n"/>
      <c r="CK218" s="2" t="n"/>
      <c r="CL218" s="2" t="n"/>
      <c r="CM218" s="2" t="n"/>
      <c r="CN218" s="2" t="n"/>
      <c r="CO218" s="2" t="n"/>
      <c r="CP218" s="2" t="n"/>
      <c r="CQ218" s="2" t="n"/>
      <c r="CR218" s="2" t="n"/>
      <c r="CS218" s="2" t="n"/>
      <c r="CT218" s="2" t="n"/>
      <c r="CU218" s="2" t="n"/>
      <c r="CV218" s="2" t="n"/>
      <c r="CW218" s="2" t="n"/>
      <c r="CX218" s="2" t="n"/>
      <c r="CY218" s="2" t="n"/>
      <c r="CZ218" s="2" t="n"/>
      <c r="DA218" s="2" t="n"/>
      <c r="DB218" s="2" t="n"/>
      <c r="DC218" s="2" t="n"/>
      <c r="DD218" s="2" t="n"/>
      <c r="DE218" s="2" t="n"/>
      <c r="DF218" s="2" t="n"/>
      <c r="DG218" s="2" t="n"/>
      <c r="DH218" s="2" t="n"/>
    </row>
    <row r="219" ht="12.75" customFormat="1" customHeight="1" s="76">
      <c r="A219" s="2" t="n"/>
      <c r="B219" s="62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2" t="n"/>
      <c r="AO219" s="2" t="n"/>
      <c r="AP219" s="2" t="n"/>
      <c r="AQ219" s="2" t="n"/>
      <c r="AR219" s="2" t="n"/>
      <c r="AS219" s="2" t="n"/>
      <c r="AT219" s="2" t="n"/>
      <c r="AU219" s="2" t="n"/>
      <c r="AV219" s="2" t="n"/>
      <c r="AW219" s="2" t="n"/>
      <c r="AX219" s="2" t="n"/>
      <c r="AY219" s="2" t="n"/>
      <c r="AZ219" s="2" t="n"/>
      <c r="BA219" s="2" t="n"/>
      <c r="BB219" s="2" t="n"/>
      <c r="BC219" s="2" t="n"/>
      <c r="BD219" s="2" t="n"/>
      <c r="BE219" s="2" t="n"/>
      <c r="BF219" s="2" t="n"/>
      <c r="BG219" s="2" t="n"/>
      <c r="BH219" s="2" t="n"/>
      <c r="BI219" s="2" t="n"/>
      <c r="BJ219" s="2" t="n"/>
      <c r="BK219" s="2" t="n"/>
      <c r="BL219" s="2" t="n"/>
      <c r="BM219" s="2" t="n"/>
      <c r="BN219" s="2" t="n"/>
      <c r="BO219" s="2" t="n"/>
      <c r="BP219" s="2" t="n"/>
      <c r="BQ219" s="2" t="n"/>
      <c r="BR219" s="2" t="n"/>
      <c r="BS219" s="2" t="n"/>
      <c r="BT219" s="2" t="n"/>
      <c r="BU219" s="2" t="n"/>
      <c r="BV219" s="2" t="n"/>
      <c r="BW219" s="2" t="n"/>
      <c r="BX219" s="2" t="n"/>
      <c r="BY219" s="2" t="n"/>
      <c r="BZ219" s="2" t="n"/>
      <c r="CA219" s="2" t="n"/>
      <c r="CB219" s="2" t="n"/>
      <c r="CC219" s="2" t="n"/>
      <c r="CD219" s="2" t="n"/>
      <c r="CE219" s="2" t="n"/>
      <c r="CF219" s="2" t="n"/>
      <c r="CG219" s="2" t="n"/>
      <c r="CH219" s="2" t="n"/>
      <c r="CI219" s="2" t="n"/>
      <c r="CJ219" s="2" t="n"/>
      <c r="CK219" s="2" t="n"/>
      <c r="CL219" s="2" t="n"/>
      <c r="CM219" s="2" t="n"/>
      <c r="CN219" s="2" t="n"/>
      <c r="CO219" s="2" t="n"/>
      <c r="CP219" s="2" t="n"/>
      <c r="CQ219" s="2" t="n"/>
      <c r="CR219" s="2" t="n"/>
      <c r="CS219" s="2" t="n"/>
      <c r="CT219" s="2" t="n"/>
      <c r="CU219" s="2" t="n"/>
      <c r="CV219" s="2" t="n"/>
      <c r="CW219" s="2" t="n"/>
      <c r="CX219" s="2" t="n"/>
      <c r="CY219" s="2" t="n"/>
      <c r="CZ219" s="2" t="n"/>
      <c r="DA219" s="2" t="n"/>
      <c r="DB219" s="2" t="n"/>
      <c r="DC219" s="2" t="n"/>
      <c r="DD219" s="2" t="n"/>
      <c r="DE219" s="2" t="n"/>
      <c r="DF219" s="2" t="n"/>
      <c r="DG219" s="2" t="n"/>
      <c r="DH219" s="2" t="n"/>
    </row>
    <row r="220" ht="12.75" customFormat="1" customHeight="1" s="76">
      <c r="A220" s="2" t="n"/>
      <c r="B220" s="62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2" t="n"/>
      <c r="AO220" s="2" t="n"/>
      <c r="AP220" s="2" t="n"/>
      <c r="AQ220" s="2" t="n"/>
      <c r="AR220" s="2" t="n"/>
      <c r="AS220" s="2" t="n"/>
      <c r="AT220" s="2" t="n"/>
      <c r="AU220" s="2" t="n"/>
      <c r="AV220" s="2" t="n"/>
      <c r="AW220" s="2" t="n"/>
      <c r="AX220" s="2" t="n"/>
      <c r="AY220" s="2" t="n"/>
      <c r="AZ220" s="2" t="n"/>
      <c r="BA220" s="2" t="n"/>
      <c r="BB220" s="2" t="n"/>
      <c r="BC220" s="2" t="n"/>
      <c r="BD220" s="2" t="n"/>
      <c r="BE220" s="2" t="n"/>
      <c r="BF220" s="2" t="n"/>
      <c r="BG220" s="2" t="n"/>
      <c r="BH220" s="2" t="n"/>
      <c r="BI220" s="2" t="n"/>
      <c r="BJ220" s="2" t="n"/>
      <c r="BK220" s="2" t="n"/>
      <c r="BL220" s="2" t="n"/>
      <c r="BM220" s="2" t="n"/>
      <c r="BN220" s="2" t="n"/>
      <c r="BO220" s="2" t="n"/>
      <c r="BP220" s="2" t="n"/>
      <c r="BQ220" s="2" t="n"/>
      <c r="BR220" s="2" t="n"/>
      <c r="BS220" s="2" t="n"/>
      <c r="BT220" s="2" t="n"/>
      <c r="BU220" s="2" t="n"/>
      <c r="BV220" s="2" t="n"/>
      <c r="BW220" s="2" t="n"/>
      <c r="BX220" s="2" t="n"/>
      <c r="BY220" s="2" t="n"/>
      <c r="BZ220" s="2" t="n"/>
      <c r="CA220" s="2" t="n"/>
      <c r="CB220" s="2" t="n"/>
      <c r="CC220" s="2" t="n"/>
      <c r="CD220" s="2" t="n"/>
      <c r="CE220" s="2" t="n"/>
      <c r="CF220" s="2" t="n"/>
      <c r="CG220" s="2" t="n"/>
      <c r="CH220" s="2" t="n"/>
      <c r="CI220" s="2" t="n"/>
      <c r="CJ220" s="2" t="n"/>
      <c r="CK220" s="2" t="n"/>
      <c r="CL220" s="2" t="n"/>
      <c r="CM220" s="2" t="n"/>
      <c r="CN220" s="2" t="n"/>
      <c r="CO220" s="2" t="n"/>
      <c r="CP220" s="2" t="n"/>
      <c r="CQ220" s="2" t="n"/>
      <c r="CR220" s="2" t="n"/>
      <c r="CS220" s="2" t="n"/>
      <c r="CT220" s="2" t="n"/>
      <c r="CU220" s="2" t="n"/>
      <c r="CV220" s="2" t="n"/>
      <c r="CW220" s="2" t="n"/>
      <c r="CX220" s="2" t="n"/>
      <c r="CY220" s="2" t="n"/>
      <c r="CZ220" s="2" t="n"/>
      <c r="DA220" s="2" t="n"/>
      <c r="DB220" s="2" t="n"/>
      <c r="DC220" s="2" t="n"/>
      <c r="DD220" s="2" t="n"/>
      <c r="DE220" s="2" t="n"/>
      <c r="DF220" s="2" t="n"/>
      <c r="DG220" s="2" t="n"/>
      <c r="DH220" s="2" t="n"/>
    </row>
    <row r="221" ht="12.75" customFormat="1" customHeight="1" s="76">
      <c r="A221" s="2" t="n"/>
      <c r="B221" s="62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/>
      <c r="CJ221" s="2" t="n"/>
      <c r="CK221" s="2" t="n"/>
      <c r="CL221" s="2" t="n"/>
      <c r="CM221" s="2" t="n"/>
      <c r="CN221" s="2" t="n"/>
      <c r="CO221" s="2" t="n"/>
      <c r="CP221" s="2" t="n"/>
      <c r="CQ221" s="2" t="n"/>
      <c r="CR221" s="2" t="n"/>
      <c r="CS221" s="2" t="n"/>
      <c r="CT221" s="2" t="n"/>
      <c r="CU221" s="2" t="n"/>
      <c r="CV221" s="2" t="n"/>
      <c r="CW221" s="2" t="n"/>
      <c r="CX221" s="2" t="n"/>
      <c r="CY221" s="2" t="n"/>
      <c r="CZ221" s="2" t="n"/>
      <c r="DA221" s="2" t="n"/>
      <c r="DB221" s="2" t="n"/>
      <c r="DC221" s="2" t="n"/>
      <c r="DD221" s="2" t="n"/>
      <c r="DE221" s="2" t="n"/>
      <c r="DF221" s="2" t="n"/>
      <c r="DG221" s="2" t="n"/>
      <c r="DH221" s="2" t="n"/>
    </row>
    <row r="222" ht="12.75" customFormat="1" customHeight="1" s="76">
      <c r="A222" s="2" t="n"/>
      <c r="B222" s="62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2" t="n"/>
      <c r="AO222" s="2" t="n"/>
      <c r="AP222" s="2" t="n"/>
      <c r="AQ222" s="2" t="n"/>
      <c r="AR222" s="2" t="n"/>
      <c r="AS222" s="2" t="n"/>
      <c r="AT222" s="2" t="n"/>
      <c r="AU222" s="2" t="n"/>
      <c r="AV222" s="2" t="n"/>
      <c r="AW222" s="2" t="n"/>
      <c r="AX222" s="2" t="n"/>
      <c r="AY222" s="2" t="n"/>
      <c r="AZ222" s="2" t="n"/>
      <c r="BA222" s="2" t="n"/>
      <c r="BB222" s="2" t="n"/>
      <c r="BC222" s="2" t="n"/>
      <c r="BD222" s="2" t="n"/>
      <c r="BE222" s="2" t="n"/>
      <c r="BF222" s="2" t="n"/>
      <c r="BG222" s="2" t="n"/>
      <c r="BH222" s="2" t="n"/>
      <c r="BI222" s="2" t="n"/>
      <c r="BJ222" s="2" t="n"/>
      <c r="BK222" s="2" t="n"/>
      <c r="BL222" s="2" t="n"/>
      <c r="BM222" s="2" t="n"/>
      <c r="BN222" s="2" t="n"/>
      <c r="BO222" s="2" t="n"/>
      <c r="BP222" s="2" t="n"/>
      <c r="BQ222" s="2" t="n"/>
      <c r="BR222" s="2" t="n"/>
      <c r="BS222" s="2" t="n"/>
      <c r="BT222" s="2" t="n"/>
      <c r="BU222" s="2" t="n"/>
      <c r="BV222" s="2" t="n"/>
      <c r="BW222" s="2" t="n"/>
      <c r="BX222" s="2" t="n"/>
      <c r="BY222" s="2" t="n"/>
      <c r="BZ222" s="2" t="n"/>
      <c r="CA222" s="2" t="n"/>
      <c r="CB222" s="2" t="n"/>
      <c r="CC222" s="2" t="n"/>
      <c r="CD222" s="2" t="n"/>
      <c r="CE222" s="2" t="n"/>
      <c r="CF222" s="2" t="n"/>
      <c r="CG222" s="2" t="n"/>
      <c r="CH222" s="2" t="n"/>
      <c r="CI222" s="2" t="n"/>
      <c r="CJ222" s="2" t="n"/>
      <c r="CK222" s="2" t="n"/>
      <c r="CL222" s="2" t="n"/>
      <c r="CM222" s="2" t="n"/>
      <c r="CN222" s="2" t="n"/>
      <c r="CO222" s="2" t="n"/>
      <c r="CP222" s="2" t="n"/>
      <c r="CQ222" s="2" t="n"/>
      <c r="CR222" s="2" t="n"/>
      <c r="CS222" s="2" t="n"/>
      <c r="CT222" s="2" t="n"/>
      <c r="CU222" s="2" t="n"/>
      <c r="CV222" s="2" t="n"/>
      <c r="CW222" s="2" t="n"/>
      <c r="CX222" s="2" t="n"/>
      <c r="CY222" s="2" t="n"/>
      <c r="CZ222" s="2" t="n"/>
      <c r="DA222" s="2" t="n"/>
      <c r="DB222" s="2" t="n"/>
      <c r="DC222" s="2" t="n"/>
      <c r="DD222" s="2" t="n"/>
      <c r="DE222" s="2" t="n"/>
      <c r="DF222" s="2" t="n"/>
      <c r="DG222" s="2" t="n"/>
      <c r="DH222" s="2" t="n"/>
    </row>
    <row r="223" ht="12.75" customFormat="1" customHeight="1" s="76">
      <c r="A223" s="2" t="n"/>
      <c r="B223" s="62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2" t="n"/>
      <c r="AO223" s="2" t="n"/>
      <c r="AP223" s="2" t="n"/>
      <c r="AQ223" s="2" t="n"/>
      <c r="AR223" s="2" t="n"/>
      <c r="AS223" s="2" t="n"/>
      <c r="AT223" s="2" t="n"/>
      <c r="AU223" s="2" t="n"/>
      <c r="AV223" s="2" t="n"/>
      <c r="AW223" s="2" t="n"/>
      <c r="AX223" s="2" t="n"/>
      <c r="AY223" s="2" t="n"/>
      <c r="AZ223" s="2" t="n"/>
      <c r="BA223" s="2" t="n"/>
      <c r="BB223" s="2" t="n"/>
      <c r="BC223" s="2" t="n"/>
      <c r="BD223" s="2" t="n"/>
      <c r="BE223" s="2" t="n"/>
      <c r="BF223" s="2" t="n"/>
      <c r="BG223" s="2" t="n"/>
      <c r="BH223" s="2" t="n"/>
      <c r="BI223" s="2" t="n"/>
      <c r="BJ223" s="2" t="n"/>
      <c r="BK223" s="2" t="n"/>
      <c r="BL223" s="2" t="n"/>
      <c r="BM223" s="2" t="n"/>
      <c r="BN223" s="2" t="n"/>
      <c r="BO223" s="2" t="n"/>
      <c r="BP223" s="2" t="n"/>
      <c r="BQ223" s="2" t="n"/>
      <c r="BR223" s="2" t="n"/>
      <c r="BS223" s="2" t="n"/>
      <c r="BT223" s="2" t="n"/>
      <c r="BU223" s="2" t="n"/>
      <c r="BV223" s="2" t="n"/>
      <c r="BW223" s="2" t="n"/>
      <c r="BX223" s="2" t="n"/>
      <c r="BY223" s="2" t="n"/>
      <c r="BZ223" s="2" t="n"/>
      <c r="CA223" s="2" t="n"/>
      <c r="CB223" s="2" t="n"/>
      <c r="CC223" s="2" t="n"/>
      <c r="CD223" s="2" t="n"/>
      <c r="CE223" s="2" t="n"/>
      <c r="CF223" s="2" t="n"/>
      <c r="CG223" s="2" t="n"/>
      <c r="CH223" s="2" t="n"/>
      <c r="CI223" s="2" t="n"/>
      <c r="CJ223" s="2" t="n"/>
      <c r="CK223" s="2" t="n"/>
      <c r="CL223" s="2" t="n"/>
      <c r="CM223" s="2" t="n"/>
      <c r="CN223" s="2" t="n"/>
      <c r="CO223" s="2" t="n"/>
      <c r="CP223" s="2" t="n"/>
      <c r="CQ223" s="2" t="n"/>
      <c r="CR223" s="2" t="n"/>
      <c r="CS223" s="2" t="n"/>
      <c r="CT223" s="2" t="n"/>
      <c r="CU223" s="2" t="n"/>
      <c r="CV223" s="2" t="n"/>
      <c r="CW223" s="2" t="n"/>
      <c r="CX223" s="2" t="n"/>
      <c r="CY223" s="2" t="n"/>
      <c r="CZ223" s="2" t="n"/>
      <c r="DA223" s="2" t="n"/>
      <c r="DB223" s="2" t="n"/>
      <c r="DC223" s="2" t="n"/>
      <c r="DD223" s="2" t="n"/>
      <c r="DE223" s="2" t="n"/>
      <c r="DF223" s="2" t="n"/>
      <c r="DG223" s="2" t="n"/>
      <c r="DH223" s="2" t="n"/>
    </row>
    <row r="224" ht="12.75" customFormat="1" customHeight="1" s="76">
      <c r="A224" s="2" t="n"/>
      <c r="B224" s="62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2" t="n"/>
      <c r="AO224" s="2" t="n"/>
      <c r="AP224" s="2" t="n"/>
      <c r="AQ224" s="2" t="n"/>
      <c r="AR224" s="2" t="n"/>
      <c r="AS224" s="2" t="n"/>
      <c r="AT224" s="2" t="n"/>
      <c r="AU224" s="2" t="n"/>
      <c r="AV224" s="2" t="n"/>
      <c r="AW224" s="2" t="n"/>
      <c r="AX224" s="2" t="n"/>
      <c r="AY224" s="2" t="n"/>
      <c r="AZ224" s="2" t="n"/>
      <c r="BA224" s="2" t="n"/>
      <c r="BB224" s="2" t="n"/>
      <c r="BC224" s="2" t="n"/>
      <c r="BD224" s="2" t="n"/>
      <c r="BE224" s="2" t="n"/>
      <c r="BF224" s="2" t="n"/>
      <c r="BG224" s="2" t="n"/>
      <c r="BH224" s="2" t="n"/>
      <c r="BI224" s="2" t="n"/>
      <c r="BJ224" s="2" t="n"/>
      <c r="BK224" s="2" t="n"/>
      <c r="BL224" s="2" t="n"/>
      <c r="BM224" s="2" t="n"/>
      <c r="BN224" s="2" t="n"/>
      <c r="BO224" s="2" t="n"/>
      <c r="BP224" s="2" t="n"/>
      <c r="BQ224" s="2" t="n"/>
      <c r="BR224" s="2" t="n"/>
      <c r="BS224" s="2" t="n"/>
      <c r="BT224" s="2" t="n"/>
      <c r="BU224" s="2" t="n"/>
      <c r="BV224" s="2" t="n"/>
      <c r="BW224" s="2" t="n"/>
      <c r="BX224" s="2" t="n"/>
      <c r="BY224" s="2" t="n"/>
      <c r="BZ224" s="2" t="n"/>
      <c r="CA224" s="2" t="n"/>
      <c r="CB224" s="2" t="n"/>
      <c r="CC224" s="2" t="n"/>
      <c r="CD224" s="2" t="n"/>
      <c r="CE224" s="2" t="n"/>
      <c r="CF224" s="2" t="n"/>
      <c r="CG224" s="2" t="n"/>
      <c r="CH224" s="2" t="n"/>
      <c r="CI224" s="2" t="n"/>
      <c r="CJ224" s="2" t="n"/>
      <c r="CK224" s="2" t="n"/>
      <c r="CL224" s="2" t="n"/>
      <c r="CM224" s="2" t="n"/>
      <c r="CN224" s="2" t="n"/>
      <c r="CO224" s="2" t="n"/>
      <c r="CP224" s="2" t="n"/>
      <c r="CQ224" s="2" t="n"/>
      <c r="CR224" s="2" t="n"/>
      <c r="CS224" s="2" t="n"/>
      <c r="CT224" s="2" t="n"/>
      <c r="CU224" s="2" t="n"/>
      <c r="CV224" s="2" t="n"/>
      <c r="CW224" s="2" t="n"/>
      <c r="CX224" s="2" t="n"/>
      <c r="CY224" s="2" t="n"/>
      <c r="CZ224" s="2" t="n"/>
      <c r="DA224" s="2" t="n"/>
      <c r="DB224" s="2" t="n"/>
      <c r="DC224" s="2" t="n"/>
      <c r="DD224" s="2" t="n"/>
      <c r="DE224" s="2" t="n"/>
      <c r="DF224" s="2" t="n"/>
      <c r="DG224" s="2" t="n"/>
      <c r="DH224" s="2" t="n"/>
    </row>
    <row r="225" ht="12.75" customFormat="1" customHeight="1" s="76">
      <c r="A225" s="2" t="n"/>
      <c r="B225" s="62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2" t="n"/>
      <c r="AO225" s="2" t="n"/>
      <c r="AP225" s="2" t="n"/>
      <c r="AQ225" s="2" t="n"/>
      <c r="AR225" s="2" t="n"/>
      <c r="AS225" s="2" t="n"/>
      <c r="AT225" s="2" t="n"/>
      <c r="AU225" s="2" t="n"/>
      <c r="AV225" s="2" t="n"/>
      <c r="AW225" s="2" t="n"/>
      <c r="AX225" s="2" t="n"/>
      <c r="AY225" s="2" t="n"/>
      <c r="AZ225" s="2" t="n"/>
      <c r="BA225" s="2" t="n"/>
      <c r="BB225" s="2" t="n"/>
      <c r="BC225" s="2" t="n"/>
      <c r="BD225" s="2" t="n"/>
      <c r="BE225" s="2" t="n"/>
      <c r="BF225" s="2" t="n"/>
      <c r="BG225" s="2" t="n"/>
      <c r="BH225" s="2" t="n"/>
      <c r="BI225" s="2" t="n"/>
      <c r="BJ225" s="2" t="n"/>
      <c r="BK225" s="2" t="n"/>
      <c r="BL225" s="2" t="n"/>
      <c r="BM225" s="2" t="n"/>
      <c r="BN225" s="2" t="n"/>
      <c r="BO225" s="2" t="n"/>
      <c r="BP225" s="2" t="n"/>
      <c r="BQ225" s="2" t="n"/>
      <c r="BR225" s="2" t="n"/>
      <c r="BS225" s="2" t="n"/>
      <c r="BT225" s="2" t="n"/>
      <c r="BU225" s="2" t="n"/>
      <c r="BV225" s="2" t="n"/>
      <c r="BW225" s="2" t="n"/>
      <c r="BX225" s="2" t="n"/>
      <c r="BY225" s="2" t="n"/>
      <c r="BZ225" s="2" t="n"/>
      <c r="CA225" s="2" t="n"/>
      <c r="CB225" s="2" t="n"/>
      <c r="CC225" s="2" t="n"/>
      <c r="CD225" s="2" t="n"/>
      <c r="CE225" s="2" t="n"/>
      <c r="CF225" s="2" t="n"/>
      <c r="CG225" s="2" t="n"/>
      <c r="CH225" s="2" t="n"/>
      <c r="CI225" s="2" t="n"/>
      <c r="CJ225" s="2" t="n"/>
      <c r="CK225" s="2" t="n"/>
      <c r="CL225" s="2" t="n"/>
      <c r="CM225" s="2" t="n"/>
      <c r="CN225" s="2" t="n"/>
      <c r="CO225" s="2" t="n"/>
      <c r="CP225" s="2" t="n"/>
      <c r="CQ225" s="2" t="n"/>
      <c r="CR225" s="2" t="n"/>
      <c r="CS225" s="2" t="n"/>
      <c r="CT225" s="2" t="n"/>
      <c r="CU225" s="2" t="n"/>
      <c r="CV225" s="2" t="n"/>
      <c r="CW225" s="2" t="n"/>
      <c r="CX225" s="2" t="n"/>
      <c r="CY225" s="2" t="n"/>
      <c r="CZ225" s="2" t="n"/>
      <c r="DA225" s="2" t="n"/>
      <c r="DB225" s="2" t="n"/>
      <c r="DC225" s="2" t="n"/>
      <c r="DD225" s="2" t="n"/>
      <c r="DE225" s="2" t="n"/>
      <c r="DF225" s="2" t="n"/>
      <c r="DG225" s="2" t="n"/>
      <c r="DH225" s="2" t="n"/>
    </row>
    <row r="226" ht="12.75" customFormat="1" customHeight="1" s="76">
      <c r="A226" s="2" t="n"/>
      <c r="B226" s="62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/>
      <c r="CG226" s="2" t="n"/>
      <c r="CH226" s="2" t="n"/>
      <c r="CI226" s="2" t="n"/>
      <c r="CJ226" s="2" t="n"/>
      <c r="CK226" s="2" t="n"/>
      <c r="CL226" s="2" t="n"/>
      <c r="CM226" s="2" t="n"/>
      <c r="CN226" s="2" t="n"/>
      <c r="CO226" s="2" t="n"/>
      <c r="CP226" s="2" t="n"/>
      <c r="CQ226" s="2" t="n"/>
      <c r="CR226" s="2" t="n"/>
      <c r="CS226" s="2" t="n"/>
      <c r="CT226" s="2" t="n"/>
      <c r="CU226" s="2" t="n"/>
      <c r="CV226" s="2" t="n"/>
      <c r="CW226" s="2" t="n"/>
      <c r="CX226" s="2" t="n"/>
      <c r="CY226" s="2" t="n"/>
      <c r="CZ226" s="2" t="n"/>
      <c r="DA226" s="2" t="n"/>
      <c r="DB226" s="2" t="n"/>
      <c r="DC226" s="2" t="n"/>
      <c r="DD226" s="2" t="n"/>
      <c r="DE226" s="2" t="n"/>
      <c r="DF226" s="2" t="n"/>
      <c r="DG226" s="2" t="n"/>
      <c r="DH226" s="2" t="n"/>
    </row>
    <row r="227" ht="12.75" customFormat="1" customHeight="1" s="76">
      <c r="A227" s="2" t="n"/>
      <c r="B227" s="62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2" t="n"/>
      <c r="AO227" s="2" t="n"/>
      <c r="AP227" s="2" t="n"/>
      <c r="AQ227" s="2" t="n"/>
      <c r="AR227" s="2" t="n"/>
      <c r="AS227" s="2" t="n"/>
      <c r="AT227" s="2" t="n"/>
      <c r="AU227" s="2" t="n"/>
      <c r="AV227" s="2" t="n"/>
      <c r="AW227" s="2" t="n"/>
      <c r="AX227" s="2" t="n"/>
      <c r="AY227" s="2" t="n"/>
      <c r="AZ227" s="2" t="n"/>
      <c r="BA227" s="2" t="n"/>
      <c r="BB227" s="2" t="n"/>
      <c r="BC227" s="2" t="n"/>
      <c r="BD227" s="2" t="n"/>
      <c r="BE227" s="2" t="n"/>
      <c r="BF227" s="2" t="n"/>
      <c r="BG227" s="2" t="n"/>
      <c r="BH227" s="2" t="n"/>
      <c r="BI227" s="2" t="n"/>
      <c r="BJ227" s="2" t="n"/>
      <c r="BK227" s="2" t="n"/>
      <c r="BL227" s="2" t="n"/>
      <c r="BM227" s="2" t="n"/>
      <c r="BN227" s="2" t="n"/>
      <c r="BO227" s="2" t="n"/>
      <c r="BP227" s="2" t="n"/>
      <c r="BQ227" s="2" t="n"/>
      <c r="BR227" s="2" t="n"/>
      <c r="BS227" s="2" t="n"/>
      <c r="BT227" s="2" t="n"/>
      <c r="BU227" s="2" t="n"/>
      <c r="BV227" s="2" t="n"/>
      <c r="BW227" s="2" t="n"/>
      <c r="BX227" s="2" t="n"/>
      <c r="BY227" s="2" t="n"/>
      <c r="BZ227" s="2" t="n"/>
      <c r="CA227" s="2" t="n"/>
      <c r="CB227" s="2" t="n"/>
      <c r="CC227" s="2" t="n"/>
      <c r="CD227" s="2" t="n"/>
      <c r="CE227" s="2" t="n"/>
      <c r="CF227" s="2" t="n"/>
      <c r="CG227" s="2" t="n"/>
      <c r="CH227" s="2" t="n"/>
      <c r="CI227" s="2" t="n"/>
      <c r="CJ227" s="2" t="n"/>
      <c r="CK227" s="2" t="n"/>
      <c r="CL227" s="2" t="n"/>
      <c r="CM227" s="2" t="n"/>
      <c r="CN227" s="2" t="n"/>
      <c r="CO227" s="2" t="n"/>
      <c r="CP227" s="2" t="n"/>
      <c r="CQ227" s="2" t="n"/>
      <c r="CR227" s="2" t="n"/>
      <c r="CS227" s="2" t="n"/>
      <c r="CT227" s="2" t="n"/>
      <c r="CU227" s="2" t="n"/>
      <c r="CV227" s="2" t="n"/>
      <c r="CW227" s="2" t="n"/>
      <c r="CX227" s="2" t="n"/>
      <c r="CY227" s="2" t="n"/>
      <c r="CZ227" s="2" t="n"/>
      <c r="DA227" s="2" t="n"/>
      <c r="DB227" s="2" t="n"/>
      <c r="DC227" s="2" t="n"/>
      <c r="DD227" s="2" t="n"/>
      <c r="DE227" s="2" t="n"/>
      <c r="DF227" s="2" t="n"/>
      <c r="DG227" s="2" t="n"/>
      <c r="DH227" s="2" t="n"/>
    </row>
    <row r="228" ht="12.75" customFormat="1" customHeight="1" s="76">
      <c r="A228" s="2" t="n"/>
      <c r="B228" s="62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2" t="n"/>
      <c r="AO228" s="2" t="n"/>
      <c r="AP228" s="2" t="n"/>
      <c r="AQ228" s="2" t="n"/>
      <c r="AR228" s="2" t="n"/>
      <c r="AS228" s="2" t="n"/>
      <c r="AT228" s="2" t="n"/>
      <c r="AU228" s="2" t="n"/>
      <c r="AV228" s="2" t="n"/>
      <c r="AW228" s="2" t="n"/>
      <c r="AX228" s="2" t="n"/>
      <c r="AY228" s="2" t="n"/>
      <c r="AZ228" s="2" t="n"/>
      <c r="BA228" s="2" t="n"/>
      <c r="BB228" s="2" t="n"/>
      <c r="BC228" s="2" t="n"/>
      <c r="BD228" s="2" t="n"/>
      <c r="BE228" s="2" t="n"/>
      <c r="BF228" s="2" t="n"/>
      <c r="BG228" s="2" t="n"/>
      <c r="BH228" s="2" t="n"/>
      <c r="BI228" s="2" t="n"/>
      <c r="BJ228" s="2" t="n"/>
      <c r="BK228" s="2" t="n"/>
      <c r="BL228" s="2" t="n"/>
      <c r="BM228" s="2" t="n"/>
      <c r="BN228" s="2" t="n"/>
      <c r="BO228" s="2" t="n"/>
      <c r="BP228" s="2" t="n"/>
      <c r="BQ228" s="2" t="n"/>
      <c r="BR228" s="2" t="n"/>
      <c r="BS228" s="2" t="n"/>
      <c r="BT228" s="2" t="n"/>
      <c r="BU228" s="2" t="n"/>
      <c r="BV228" s="2" t="n"/>
      <c r="BW228" s="2" t="n"/>
      <c r="BX228" s="2" t="n"/>
      <c r="BY228" s="2" t="n"/>
      <c r="BZ228" s="2" t="n"/>
      <c r="CA228" s="2" t="n"/>
      <c r="CB228" s="2" t="n"/>
      <c r="CC228" s="2" t="n"/>
      <c r="CD228" s="2" t="n"/>
      <c r="CE228" s="2" t="n"/>
      <c r="CF228" s="2" t="n"/>
      <c r="CG228" s="2" t="n"/>
      <c r="CH228" s="2" t="n"/>
      <c r="CI228" s="2" t="n"/>
      <c r="CJ228" s="2" t="n"/>
      <c r="CK228" s="2" t="n"/>
      <c r="CL228" s="2" t="n"/>
      <c r="CM228" s="2" t="n"/>
      <c r="CN228" s="2" t="n"/>
      <c r="CO228" s="2" t="n"/>
      <c r="CP228" s="2" t="n"/>
      <c r="CQ228" s="2" t="n"/>
      <c r="CR228" s="2" t="n"/>
      <c r="CS228" s="2" t="n"/>
      <c r="CT228" s="2" t="n"/>
      <c r="CU228" s="2" t="n"/>
      <c r="CV228" s="2" t="n"/>
      <c r="CW228" s="2" t="n"/>
      <c r="CX228" s="2" t="n"/>
      <c r="CY228" s="2" t="n"/>
      <c r="CZ228" s="2" t="n"/>
      <c r="DA228" s="2" t="n"/>
      <c r="DB228" s="2" t="n"/>
      <c r="DC228" s="2" t="n"/>
      <c r="DD228" s="2" t="n"/>
      <c r="DE228" s="2" t="n"/>
      <c r="DF228" s="2" t="n"/>
      <c r="DG228" s="2" t="n"/>
      <c r="DH228" s="2" t="n"/>
    </row>
    <row r="229" ht="12.75" customFormat="1" customHeight="1" s="76">
      <c r="A229" s="2" t="n"/>
      <c r="B229" s="62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/>
      <c r="BB229" s="2" t="n"/>
      <c r="BC229" s="2" t="n"/>
      <c r="BD229" s="2" t="n"/>
      <c r="BE229" s="2" t="n"/>
      <c r="BF229" s="2" t="n"/>
      <c r="BG229" s="2" t="n"/>
      <c r="BH229" s="2" t="n"/>
      <c r="BI229" s="2" t="n"/>
      <c r="BJ229" s="2" t="n"/>
      <c r="BK229" s="2" t="n"/>
      <c r="BL229" s="2" t="n"/>
      <c r="BM229" s="2" t="n"/>
      <c r="BN229" s="2" t="n"/>
      <c r="BO229" s="2" t="n"/>
      <c r="BP229" s="2" t="n"/>
      <c r="BQ229" s="2" t="n"/>
      <c r="BR229" s="2" t="n"/>
      <c r="BS229" s="2" t="n"/>
      <c r="BT229" s="2" t="n"/>
      <c r="BU229" s="2" t="n"/>
      <c r="BV229" s="2" t="n"/>
      <c r="BW229" s="2" t="n"/>
      <c r="BX229" s="2" t="n"/>
      <c r="BY229" s="2" t="n"/>
      <c r="BZ229" s="2" t="n"/>
      <c r="CA229" s="2" t="n"/>
      <c r="CB229" s="2" t="n"/>
      <c r="CC229" s="2" t="n"/>
      <c r="CD229" s="2" t="n"/>
      <c r="CE229" s="2" t="n"/>
      <c r="CF229" s="2" t="n"/>
      <c r="CG229" s="2" t="n"/>
      <c r="CH229" s="2" t="n"/>
      <c r="CI229" s="2" t="n"/>
      <c r="CJ229" s="2" t="n"/>
      <c r="CK229" s="2" t="n"/>
      <c r="CL229" s="2" t="n"/>
      <c r="CM229" s="2" t="n"/>
      <c r="CN229" s="2" t="n"/>
      <c r="CO229" s="2" t="n"/>
      <c r="CP229" s="2" t="n"/>
      <c r="CQ229" s="2" t="n"/>
      <c r="CR229" s="2" t="n"/>
      <c r="CS229" s="2" t="n"/>
      <c r="CT229" s="2" t="n"/>
      <c r="CU229" s="2" t="n"/>
      <c r="CV229" s="2" t="n"/>
      <c r="CW229" s="2" t="n"/>
      <c r="CX229" s="2" t="n"/>
      <c r="CY229" s="2" t="n"/>
      <c r="CZ229" s="2" t="n"/>
      <c r="DA229" s="2" t="n"/>
      <c r="DB229" s="2" t="n"/>
      <c r="DC229" s="2" t="n"/>
      <c r="DD229" s="2" t="n"/>
      <c r="DE229" s="2" t="n"/>
      <c r="DF229" s="2" t="n"/>
      <c r="DG229" s="2" t="n"/>
      <c r="DH229" s="2" t="n"/>
    </row>
    <row r="230" ht="12.75" customFormat="1" customHeight="1" s="76">
      <c r="A230" s="2" t="n"/>
      <c r="B230" s="62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/>
      <c r="BB230" s="2" t="n"/>
      <c r="BC230" s="2" t="n"/>
      <c r="BD230" s="2" t="n"/>
      <c r="BE230" s="2" t="n"/>
      <c r="BF230" s="2" t="n"/>
      <c r="BG230" s="2" t="n"/>
      <c r="BH230" s="2" t="n"/>
      <c r="BI230" s="2" t="n"/>
      <c r="BJ230" s="2" t="n"/>
      <c r="BK230" s="2" t="n"/>
      <c r="BL230" s="2" t="n"/>
      <c r="BM230" s="2" t="n"/>
      <c r="BN230" s="2" t="n"/>
      <c r="BO230" s="2" t="n"/>
      <c r="BP230" s="2" t="n"/>
      <c r="BQ230" s="2" t="n"/>
      <c r="BR230" s="2" t="n"/>
      <c r="BS230" s="2" t="n"/>
      <c r="BT230" s="2" t="n"/>
      <c r="BU230" s="2" t="n"/>
      <c r="BV230" s="2" t="n"/>
      <c r="BW230" s="2" t="n"/>
      <c r="BX230" s="2" t="n"/>
      <c r="BY230" s="2" t="n"/>
      <c r="BZ230" s="2" t="n"/>
      <c r="CA230" s="2" t="n"/>
      <c r="CB230" s="2" t="n"/>
      <c r="CC230" s="2" t="n"/>
      <c r="CD230" s="2" t="n"/>
      <c r="CE230" s="2" t="n"/>
      <c r="CF230" s="2" t="n"/>
      <c r="CG230" s="2" t="n"/>
      <c r="CH230" s="2" t="n"/>
      <c r="CI230" s="2" t="n"/>
      <c r="CJ230" s="2" t="n"/>
      <c r="CK230" s="2" t="n"/>
      <c r="CL230" s="2" t="n"/>
      <c r="CM230" s="2" t="n"/>
      <c r="CN230" s="2" t="n"/>
      <c r="CO230" s="2" t="n"/>
      <c r="CP230" s="2" t="n"/>
      <c r="CQ230" s="2" t="n"/>
      <c r="CR230" s="2" t="n"/>
      <c r="CS230" s="2" t="n"/>
      <c r="CT230" s="2" t="n"/>
      <c r="CU230" s="2" t="n"/>
      <c r="CV230" s="2" t="n"/>
      <c r="CW230" s="2" t="n"/>
      <c r="CX230" s="2" t="n"/>
      <c r="CY230" s="2" t="n"/>
      <c r="CZ230" s="2" t="n"/>
      <c r="DA230" s="2" t="n"/>
      <c r="DB230" s="2" t="n"/>
      <c r="DC230" s="2" t="n"/>
      <c r="DD230" s="2" t="n"/>
      <c r="DE230" s="2" t="n"/>
      <c r="DF230" s="2" t="n"/>
      <c r="DG230" s="2" t="n"/>
      <c r="DH230" s="2" t="n"/>
    </row>
    <row r="231" ht="12.75" customFormat="1" customHeight="1" s="76">
      <c r="A231" s="2" t="n"/>
      <c r="B231" s="62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2" t="n"/>
      <c r="AO231" s="2" t="n"/>
      <c r="AP231" s="2" t="n"/>
      <c r="AQ231" s="2" t="n"/>
      <c r="AR231" s="2" t="n"/>
      <c r="AS231" s="2" t="n"/>
      <c r="AT231" s="2" t="n"/>
      <c r="AU231" s="2" t="n"/>
      <c r="AV231" s="2" t="n"/>
      <c r="AW231" s="2" t="n"/>
      <c r="AX231" s="2" t="n"/>
      <c r="AY231" s="2" t="n"/>
      <c r="AZ231" s="2" t="n"/>
      <c r="BA231" s="2" t="n"/>
      <c r="BB231" s="2" t="n"/>
      <c r="BC231" s="2" t="n"/>
      <c r="BD231" s="2" t="n"/>
      <c r="BE231" s="2" t="n"/>
      <c r="BF231" s="2" t="n"/>
      <c r="BG231" s="2" t="n"/>
      <c r="BH231" s="2" t="n"/>
      <c r="BI231" s="2" t="n"/>
      <c r="BJ231" s="2" t="n"/>
      <c r="BK231" s="2" t="n"/>
      <c r="BL231" s="2" t="n"/>
      <c r="BM231" s="2" t="n"/>
      <c r="BN231" s="2" t="n"/>
      <c r="BO231" s="2" t="n"/>
      <c r="BP231" s="2" t="n"/>
      <c r="BQ231" s="2" t="n"/>
      <c r="BR231" s="2" t="n"/>
      <c r="BS231" s="2" t="n"/>
      <c r="BT231" s="2" t="n"/>
      <c r="BU231" s="2" t="n"/>
      <c r="BV231" s="2" t="n"/>
      <c r="BW231" s="2" t="n"/>
      <c r="BX231" s="2" t="n"/>
      <c r="BY231" s="2" t="n"/>
      <c r="BZ231" s="2" t="n"/>
      <c r="CA231" s="2" t="n"/>
      <c r="CB231" s="2" t="n"/>
      <c r="CC231" s="2" t="n"/>
      <c r="CD231" s="2" t="n"/>
      <c r="CE231" s="2" t="n"/>
      <c r="CF231" s="2" t="n"/>
      <c r="CG231" s="2" t="n"/>
      <c r="CH231" s="2" t="n"/>
      <c r="CI231" s="2" t="n"/>
      <c r="CJ231" s="2" t="n"/>
      <c r="CK231" s="2" t="n"/>
      <c r="CL231" s="2" t="n"/>
      <c r="CM231" s="2" t="n"/>
      <c r="CN231" s="2" t="n"/>
      <c r="CO231" s="2" t="n"/>
      <c r="CP231" s="2" t="n"/>
      <c r="CQ231" s="2" t="n"/>
      <c r="CR231" s="2" t="n"/>
      <c r="CS231" s="2" t="n"/>
      <c r="CT231" s="2" t="n"/>
      <c r="CU231" s="2" t="n"/>
      <c r="CV231" s="2" t="n"/>
      <c r="CW231" s="2" t="n"/>
      <c r="CX231" s="2" t="n"/>
      <c r="CY231" s="2" t="n"/>
      <c r="CZ231" s="2" t="n"/>
      <c r="DA231" s="2" t="n"/>
      <c r="DB231" s="2" t="n"/>
      <c r="DC231" s="2" t="n"/>
      <c r="DD231" s="2" t="n"/>
      <c r="DE231" s="2" t="n"/>
      <c r="DF231" s="2" t="n"/>
      <c r="DG231" s="2" t="n"/>
      <c r="DH231" s="2" t="n"/>
    </row>
    <row r="232" ht="12.75" customFormat="1" customHeight="1" s="76">
      <c r="A232" s="2" t="n"/>
      <c r="B232" s="62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</row>
    <row r="233" ht="12.75" customFormat="1" customHeight="1" s="76">
      <c r="A233" s="2" t="n"/>
      <c r="B233" s="62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2" t="n"/>
      <c r="AO233" s="2" t="n"/>
      <c r="AP233" s="2" t="n"/>
      <c r="AQ233" s="2" t="n"/>
      <c r="AR233" s="2" t="n"/>
      <c r="AS233" s="2" t="n"/>
      <c r="AT233" s="2" t="n"/>
      <c r="AU233" s="2" t="n"/>
      <c r="AV233" s="2" t="n"/>
      <c r="AW233" s="2" t="n"/>
      <c r="AX233" s="2" t="n"/>
      <c r="AY233" s="2" t="n"/>
      <c r="AZ233" s="2" t="n"/>
      <c r="BA233" s="2" t="n"/>
      <c r="BB233" s="2" t="n"/>
      <c r="BC233" s="2" t="n"/>
      <c r="BD233" s="2" t="n"/>
      <c r="BE233" s="2" t="n"/>
      <c r="BF233" s="2" t="n"/>
      <c r="BG233" s="2" t="n"/>
      <c r="BH233" s="2" t="n"/>
      <c r="BI233" s="2" t="n"/>
      <c r="BJ233" s="2" t="n"/>
      <c r="BK233" s="2" t="n"/>
      <c r="BL233" s="2" t="n"/>
      <c r="BM233" s="2" t="n"/>
      <c r="BN233" s="2" t="n"/>
      <c r="BO233" s="2" t="n"/>
      <c r="BP233" s="2" t="n"/>
      <c r="BQ233" s="2" t="n"/>
      <c r="BR233" s="2" t="n"/>
      <c r="BS233" s="2" t="n"/>
      <c r="BT233" s="2" t="n"/>
      <c r="BU233" s="2" t="n"/>
      <c r="BV233" s="2" t="n"/>
      <c r="BW233" s="2" t="n"/>
      <c r="BX233" s="2" t="n"/>
      <c r="BY233" s="2" t="n"/>
      <c r="BZ233" s="2" t="n"/>
      <c r="CA233" s="2" t="n"/>
      <c r="CB233" s="2" t="n"/>
      <c r="CC233" s="2" t="n"/>
      <c r="CD233" s="2" t="n"/>
      <c r="CE233" s="2" t="n"/>
      <c r="CF233" s="2" t="n"/>
      <c r="CG233" s="2" t="n"/>
      <c r="CH233" s="2" t="n"/>
      <c r="CI233" s="2" t="n"/>
      <c r="CJ233" s="2" t="n"/>
      <c r="CK233" s="2" t="n"/>
      <c r="CL233" s="2" t="n"/>
      <c r="CM233" s="2" t="n"/>
      <c r="CN233" s="2" t="n"/>
      <c r="CO233" s="2" t="n"/>
      <c r="CP233" s="2" t="n"/>
      <c r="CQ233" s="2" t="n"/>
      <c r="CR233" s="2" t="n"/>
      <c r="CS233" s="2" t="n"/>
      <c r="CT233" s="2" t="n"/>
      <c r="CU233" s="2" t="n"/>
      <c r="CV233" s="2" t="n"/>
      <c r="CW233" s="2" t="n"/>
      <c r="CX233" s="2" t="n"/>
      <c r="CY233" s="2" t="n"/>
      <c r="CZ233" s="2" t="n"/>
      <c r="DA233" s="2" t="n"/>
      <c r="DB233" s="2" t="n"/>
      <c r="DC233" s="2" t="n"/>
      <c r="DD233" s="2" t="n"/>
      <c r="DE233" s="2" t="n"/>
      <c r="DF233" s="2" t="n"/>
      <c r="DG233" s="2" t="n"/>
      <c r="DH233" s="2" t="n"/>
    </row>
    <row r="234" ht="12.75" customFormat="1" customHeight="1" s="76">
      <c r="A234" s="2" t="n"/>
      <c r="B234" s="62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2" t="n"/>
      <c r="AO234" s="2" t="n"/>
      <c r="AP234" s="2" t="n"/>
      <c r="AQ234" s="2" t="n"/>
      <c r="AR234" s="2" t="n"/>
      <c r="AS234" s="2" t="n"/>
      <c r="AT234" s="2" t="n"/>
      <c r="AU234" s="2" t="n"/>
      <c r="AV234" s="2" t="n"/>
      <c r="AW234" s="2" t="n"/>
      <c r="AX234" s="2" t="n"/>
      <c r="AY234" s="2" t="n"/>
      <c r="AZ234" s="2" t="n"/>
      <c r="BA234" s="2" t="n"/>
      <c r="BB234" s="2" t="n"/>
      <c r="BC234" s="2" t="n"/>
      <c r="BD234" s="2" t="n"/>
      <c r="BE234" s="2" t="n"/>
      <c r="BF234" s="2" t="n"/>
      <c r="BG234" s="2" t="n"/>
      <c r="BH234" s="2" t="n"/>
      <c r="BI234" s="2" t="n"/>
      <c r="BJ234" s="2" t="n"/>
      <c r="BK234" s="2" t="n"/>
      <c r="BL234" s="2" t="n"/>
      <c r="BM234" s="2" t="n"/>
      <c r="BN234" s="2" t="n"/>
      <c r="BO234" s="2" t="n"/>
      <c r="BP234" s="2" t="n"/>
      <c r="BQ234" s="2" t="n"/>
      <c r="BR234" s="2" t="n"/>
      <c r="BS234" s="2" t="n"/>
      <c r="BT234" s="2" t="n"/>
      <c r="BU234" s="2" t="n"/>
      <c r="BV234" s="2" t="n"/>
      <c r="BW234" s="2" t="n"/>
      <c r="BX234" s="2" t="n"/>
      <c r="BY234" s="2" t="n"/>
      <c r="BZ234" s="2" t="n"/>
      <c r="CA234" s="2" t="n"/>
      <c r="CB234" s="2" t="n"/>
      <c r="CC234" s="2" t="n"/>
      <c r="CD234" s="2" t="n"/>
      <c r="CE234" s="2" t="n"/>
      <c r="CF234" s="2" t="n"/>
      <c r="CG234" s="2" t="n"/>
      <c r="CH234" s="2" t="n"/>
      <c r="CI234" s="2" t="n"/>
      <c r="CJ234" s="2" t="n"/>
      <c r="CK234" s="2" t="n"/>
      <c r="CL234" s="2" t="n"/>
      <c r="CM234" s="2" t="n"/>
      <c r="CN234" s="2" t="n"/>
      <c r="CO234" s="2" t="n"/>
      <c r="CP234" s="2" t="n"/>
      <c r="CQ234" s="2" t="n"/>
      <c r="CR234" s="2" t="n"/>
      <c r="CS234" s="2" t="n"/>
      <c r="CT234" s="2" t="n"/>
      <c r="CU234" s="2" t="n"/>
      <c r="CV234" s="2" t="n"/>
      <c r="CW234" s="2" t="n"/>
      <c r="CX234" s="2" t="n"/>
      <c r="CY234" s="2" t="n"/>
      <c r="CZ234" s="2" t="n"/>
      <c r="DA234" s="2" t="n"/>
      <c r="DB234" s="2" t="n"/>
      <c r="DC234" s="2" t="n"/>
      <c r="DD234" s="2" t="n"/>
      <c r="DE234" s="2" t="n"/>
      <c r="DF234" s="2" t="n"/>
      <c r="DG234" s="2" t="n"/>
      <c r="DH234" s="2" t="n"/>
    </row>
    <row r="235" ht="12.75" customFormat="1" customHeight="1" s="76">
      <c r="A235" s="2" t="n"/>
      <c r="B235" s="62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2" t="n"/>
      <c r="AO235" s="2" t="n"/>
      <c r="AP235" s="2" t="n"/>
      <c r="AQ235" s="2" t="n"/>
      <c r="AR235" s="2" t="n"/>
      <c r="AS235" s="2" t="n"/>
      <c r="AT235" s="2" t="n"/>
      <c r="AU235" s="2" t="n"/>
      <c r="AV235" s="2" t="n"/>
      <c r="AW235" s="2" t="n"/>
      <c r="AX235" s="2" t="n"/>
      <c r="AY235" s="2" t="n"/>
      <c r="AZ235" s="2" t="n"/>
      <c r="BA235" s="2" t="n"/>
      <c r="BB235" s="2" t="n"/>
      <c r="BC235" s="2" t="n"/>
      <c r="BD235" s="2" t="n"/>
      <c r="BE235" s="2" t="n"/>
      <c r="BF235" s="2" t="n"/>
      <c r="BG235" s="2" t="n"/>
      <c r="BH235" s="2" t="n"/>
      <c r="BI235" s="2" t="n"/>
      <c r="BJ235" s="2" t="n"/>
      <c r="BK235" s="2" t="n"/>
      <c r="BL235" s="2" t="n"/>
      <c r="BM235" s="2" t="n"/>
      <c r="BN235" s="2" t="n"/>
      <c r="BO235" s="2" t="n"/>
      <c r="BP235" s="2" t="n"/>
      <c r="BQ235" s="2" t="n"/>
      <c r="BR235" s="2" t="n"/>
      <c r="BS235" s="2" t="n"/>
      <c r="BT235" s="2" t="n"/>
      <c r="BU235" s="2" t="n"/>
      <c r="BV235" s="2" t="n"/>
      <c r="BW235" s="2" t="n"/>
      <c r="BX235" s="2" t="n"/>
      <c r="BY235" s="2" t="n"/>
      <c r="BZ235" s="2" t="n"/>
      <c r="CA235" s="2" t="n"/>
      <c r="CB235" s="2" t="n"/>
      <c r="CC235" s="2" t="n"/>
      <c r="CD235" s="2" t="n"/>
      <c r="CE235" s="2" t="n"/>
      <c r="CF235" s="2" t="n"/>
      <c r="CG235" s="2" t="n"/>
      <c r="CH235" s="2" t="n"/>
      <c r="CI235" s="2" t="n"/>
      <c r="CJ235" s="2" t="n"/>
      <c r="CK235" s="2" t="n"/>
      <c r="CL235" s="2" t="n"/>
      <c r="CM235" s="2" t="n"/>
      <c r="CN235" s="2" t="n"/>
      <c r="CO235" s="2" t="n"/>
      <c r="CP235" s="2" t="n"/>
      <c r="CQ235" s="2" t="n"/>
      <c r="CR235" s="2" t="n"/>
      <c r="CS235" s="2" t="n"/>
      <c r="CT235" s="2" t="n"/>
      <c r="CU235" s="2" t="n"/>
      <c r="CV235" s="2" t="n"/>
      <c r="CW235" s="2" t="n"/>
      <c r="CX235" s="2" t="n"/>
      <c r="CY235" s="2" t="n"/>
      <c r="CZ235" s="2" t="n"/>
      <c r="DA235" s="2" t="n"/>
      <c r="DB235" s="2" t="n"/>
      <c r="DC235" s="2" t="n"/>
      <c r="DD235" s="2" t="n"/>
      <c r="DE235" s="2" t="n"/>
      <c r="DF235" s="2" t="n"/>
      <c r="DG235" s="2" t="n"/>
      <c r="DH235" s="2" t="n"/>
    </row>
    <row r="236" ht="12.75" customFormat="1" customHeight="1" s="76">
      <c r="A236" s="2" t="n"/>
      <c r="B236" s="62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2" t="n"/>
      <c r="AO236" s="2" t="n"/>
      <c r="AP236" s="2" t="n"/>
      <c r="AQ236" s="2" t="n"/>
      <c r="AR236" s="2" t="n"/>
      <c r="AS236" s="2" t="n"/>
      <c r="AT236" s="2" t="n"/>
      <c r="AU236" s="2" t="n"/>
      <c r="AV236" s="2" t="n"/>
      <c r="AW236" s="2" t="n"/>
      <c r="AX236" s="2" t="n"/>
      <c r="AY236" s="2" t="n"/>
      <c r="AZ236" s="2" t="n"/>
      <c r="BA236" s="2" t="n"/>
      <c r="BB236" s="2" t="n"/>
      <c r="BC236" s="2" t="n"/>
      <c r="BD236" s="2" t="n"/>
      <c r="BE236" s="2" t="n"/>
      <c r="BF236" s="2" t="n"/>
      <c r="BG236" s="2" t="n"/>
      <c r="BH236" s="2" t="n"/>
      <c r="BI236" s="2" t="n"/>
      <c r="BJ236" s="2" t="n"/>
      <c r="BK236" s="2" t="n"/>
      <c r="BL236" s="2" t="n"/>
      <c r="BM236" s="2" t="n"/>
      <c r="BN236" s="2" t="n"/>
      <c r="BO236" s="2" t="n"/>
      <c r="BP236" s="2" t="n"/>
      <c r="BQ236" s="2" t="n"/>
      <c r="BR236" s="2" t="n"/>
      <c r="BS236" s="2" t="n"/>
      <c r="BT236" s="2" t="n"/>
      <c r="BU236" s="2" t="n"/>
      <c r="BV236" s="2" t="n"/>
      <c r="BW236" s="2" t="n"/>
      <c r="BX236" s="2" t="n"/>
      <c r="BY236" s="2" t="n"/>
      <c r="BZ236" s="2" t="n"/>
      <c r="CA236" s="2" t="n"/>
      <c r="CB236" s="2" t="n"/>
      <c r="CC236" s="2" t="n"/>
      <c r="CD236" s="2" t="n"/>
      <c r="CE236" s="2" t="n"/>
      <c r="CF236" s="2" t="n"/>
      <c r="CG236" s="2" t="n"/>
      <c r="CH236" s="2" t="n"/>
      <c r="CI236" s="2" t="n"/>
      <c r="CJ236" s="2" t="n"/>
      <c r="CK236" s="2" t="n"/>
      <c r="CL236" s="2" t="n"/>
      <c r="CM236" s="2" t="n"/>
      <c r="CN236" s="2" t="n"/>
      <c r="CO236" s="2" t="n"/>
      <c r="CP236" s="2" t="n"/>
      <c r="CQ236" s="2" t="n"/>
      <c r="CR236" s="2" t="n"/>
      <c r="CS236" s="2" t="n"/>
      <c r="CT236" s="2" t="n"/>
      <c r="CU236" s="2" t="n"/>
      <c r="CV236" s="2" t="n"/>
      <c r="CW236" s="2" t="n"/>
      <c r="CX236" s="2" t="n"/>
      <c r="CY236" s="2" t="n"/>
      <c r="CZ236" s="2" t="n"/>
      <c r="DA236" s="2" t="n"/>
      <c r="DB236" s="2" t="n"/>
      <c r="DC236" s="2" t="n"/>
      <c r="DD236" s="2" t="n"/>
      <c r="DE236" s="2" t="n"/>
      <c r="DF236" s="2" t="n"/>
      <c r="DG236" s="2" t="n"/>
      <c r="DH236" s="2" t="n"/>
    </row>
    <row r="237" ht="12.75" customFormat="1" customHeight="1" s="76">
      <c r="A237" s="2" t="n"/>
      <c r="B237" s="62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2" t="n"/>
      <c r="AO237" s="2" t="n"/>
      <c r="AP237" s="2" t="n"/>
      <c r="AQ237" s="2" t="n"/>
      <c r="AR237" s="2" t="n"/>
      <c r="AS237" s="2" t="n"/>
      <c r="AT237" s="2" t="n"/>
      <c r="AU237" s="2" t="n"/>
      <c r="AV237" s="2" t="n"/>
      <c r="AW237" s="2" t="n"/>
      <c r="AX237" s="2" t="n"/>
      <c r="AY237" s="2" t="n"/>
      <c r="AZ237" s="2" t="n"/>
      <c r="BA237" s="2" t="n"/>
      <c r="BB237" s="2" t="n"/>
      <c r="BC237" s="2" t="n"/>
      <c r="BD237" s="2" t="n"/>
      <c r="BE237" s="2" t="n"/>
      <c r="BF237" s="2" t="n"/>
      <c r="BG237" s="2" t="n"/>
      <c r="BH237" s="2" t="n"/>
      <c r="BI237" s="2" t="n"/>
      <c r="BJ237" s="2" t="n"/>
      <c r="BK237" s="2" t="n"/>
      <c r="BL237" s="2" t="n"/>
      <c r="BM237" s="2" t="n"/>
      <c r="BN237" s="2" t="n"/>
      <c r="BO237" s="2" t="n"/>
      <c r="BP237" s="2" t="n"/>
      <c r="BQ237" s="2" t="n"/>
      <c r="BR237" s="2" t="n"/>
      <c r="BS237" s="2" t="n"/>
      <c r="BT237" s="2" t="n"/>
      <c r="BU237" s="2" t="n"/>
      <c r="BV237" s="2" t="n"/>
      <c r="BW237" s="2" t="n"/>
      <c r="BX237" s="2" t="n"/>
      <c r="BY237" s="2" t="n"/>
      <c r="BZ237" s="2" t="n"/>
      <c r="CA237" s="2" t="n"/>
      <c r="CB237" s="2" t="n"/>
      <c r="CC237" s="2" t="n"/>
      <c r="CD237" s="2" t="n"/>
      <c r="CE237" s="2" t="n"/>
      <c r="CF237" s="2" t="n"/>
      <c r="CG237" s="2" t="n"/>
      <c r="CH237" s="2" t="n"/>
      <c r="CI237" s="2" t="n"/>
      <c r="CJ237" s="2" t="n"/>
      <c r="CK237" s="2" t="n"/>
      <c r="CL237" s="2" t="n"/>
      <c r="CM237" s="2" t="n"/>
      <c r="CN237" s="2" t="n"/>
      <c r="CO237" s="2" t="n"/>
      <c r="CP237" s="2" t="n"/>
      <c r="CQ237" s="2" t="n"/>
      <c r="CR237" s="2" t="n"/>
      <c r="CS237" s="2" t="n"/>
      <c r="CT237" s="2" t="n"/>
      <c r="CU237" s="2" t="n"/>
      <c r="CV237" s="2" t="n"/>
      <c r="CW237" s="2" t="n"/>
      <c r="CX237" s="2" t="n"/>
      <c r="CY237" s="2" t="n"/>
      <c r="CZ237" s="2" t="n"/>
      <c r="DA237" s="2" t="n"/>
      <c r="DB237" s="2" t="n"/>
      <c r="DC237" s="2" t="n"/>
      <c r="DD237" s="2" t="n"/>
      <c r="DE237" s="2" t="n"/>
      <c r="DF237" s="2" t="n"/>
      <c r="DG237" s="2" t="n"/>
      <c r="DH237" s="2" t="n"/>
    </row>
    <row r="238" ht="12.75" customFormat="1" customHeight="1" s="76">
      <c r="A238" s="2" t="n"/>
      <c r="B238" s="62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2" t="n"/>
      <c r="AO238" s="2" t="n"/>
      <c r="AP238" s="2" t="n"/>
      <c r="AQ238" s="2" t="n"/>
      <c r="AR238" s="2" t="n"/>
      <c r="AS238" s="2" t="n"/>
      <c r="AT238" s="2" t="n"/>
      <c r="AU238" s="2" t="n"/>
      <c r="AV238" s="2" t="n"/>
      <c r="AW238" s="2" t="n"/>
      <c r="AX238" s="2" t="n"/>
      <c r="AY238" s="2" t="n"/>
      <c r="AZ238" s="2" t="n"/>
      <c r="BA238" s="2" t="n"/>
      <c r="BB238" s="2" t="n"/>
      <c r="BC238" s="2" t="n"/>
      <c r="BD238" s="2" t="n"/>
      <c r="BE238" s="2" t="n"/>
      <c r="BF238" s="2" t="n"/>
      <c r="BG238" s="2" t="n"/>
      <c r="BH238" s="2" t="n"/>
      <c r="BI238" s="2" t="n"/>
      <c r="BJ238" s="2" t="n"/>
      <c r="BK238" s="2" t="n"/>
      <c r="BL238" s="2" t="n"/>
      <c r="BM238" s="2" t="n"/>
      <c r="BN238" s="2" t="n"/>
      <c r="BO238" s="2" t="n"/>
      <c r="BP238" s="2" t="n"/>
      <c r="BQ238" s="2" t="n"/>
      <c r="BR238" s="2" t="n"/>
      <c r="BS238" s="2" t="n"/>
      <c r="BT238" s="2" t="n"/>
      <c r="BU238" s="2" t="n"/>
      <c r="BV238" s="2" t="n"/>
      <c r="BW238" s="2" t="n"/>
      <c r="BX238" s="2" t="n"/>
      <c r="BY238" s="2" t="n"/>
      <c r="BZ238" s="2" t="n"/>
      <c r="CA238" s="2" t="n"/>
      <c r="CB238" s="2" t="n"/>
      <c r="CC238" s="2" t="n"/>
      <c r="CD238" s="2" t="n"/>
      <c r="CE238" s="2" t="n"/>
      <c r="CF238" s="2" t="n"/>
      <c r="CG238" s="2" t="n"/>
      <c r="CH238" s="2" t="n"/>
      <c r="CI238" s="2" t="n"/>
      <c r="CJ238" s="2" t="n"/>
      <c r="CK238" s="2" t="n"/>
      <c r="CL238" s="2" t="n"/>
      <c r="CM238" s="2" t="n"/>
      <c r="CN238" s="2" t="n"/>
      <c r="CO238" s="2" t="n"/>
      <c r="CP238" s="2" t="n"/>
      <c r="CQ238" s="2" t="n"/>
      <c r="CR238" s="2" t="n"/>
      <c r="CS238" s="2" t="n"/>
      <c r="CT238" s="2" t="n"/>
      <c r="CU238" s="2" t="n"/>
      <c r="CV238" s="2" t="n"/>
      <c r="CW238" s="2" t="n"/>
      <c r="CX238" s="2" t="n"/>
      <c r="CY238" s="2" t="n"/>
      <c r="CZ238" s="2" t="n"/>
      <c r="DA238" s="2" t="n"/>
      <c r="DB238" s="2" t="n"/>
      <c r="DC238" s="2" t="n"/>
      <c r="DD238" s="2" t="n"/>
      <c r="DE238" s="2" t="n"/>
      <c r="DF238" s="2" t="n"/>
      <c r="DG238" s="2" t="n"/>
      <c r="DH238" s="2" t="n"/>
    </row>
    <row r="239" ht="12.75" customFormat="1" customHeight="1" s="76">
      <c r="A239" s="2" t="n"/>
      <c r="B239" s="62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2" t="n"/>
      <c r="AO239" s="2" t="n"/>
      <c r="AP239" s="2" t="n"/>
      <c r="AQ239" s="2" t="n"/>
      <c r="AR239" s="2" t="n"/>
      <c r="AS239" s="2" t="n"/>
      <c r="AT239" s="2" t="n"/>
      <c r="AU239" s="2" t="n"/>
      <c r="AV239" s="2" t="n"/>
      <c r="AW239" s="2" t="n"/>
      <c r="AX239" s="2" t="n"/>
      <c r="AY239" s="2" t="n"/>
      <c r="AZ239" s="2" t="n"/>
      <c r="BA239" s="2" t="n"/>
      <c r="BB239" s="2" t="n"/>
      <c r="BC239" s="2" t="n"/>
      <c r="BD239" s="2" t="n"/>
      <c r="BE239" s="2" t="n"/>
      <c r="BF239" s="2" t="n"/>
      <c r="BG239" s="2" t="n"/>
      <c r="BH239" s="2" t="n"/>
      <c r="BI239" s="2" t="n"/>
      <c r="BJ239" s="2" t="n"/>
      <c r="BK239" s="2" t="n"/>
      <c r="BL239" s="2" t="n"/>
      <c r="BM239" s="2" t="n"/>
      <c r="BN239" s="2" t="n"/>
      <c r="BO239" s="2" t="n"/>
      <c r="BP239" s="2" t="n"/>
      <c r="BQ239" s="2" t="n"/>
      <c r="BR239" s="2" t="n"/>
      <c r="BS239" s="2" t="n"/>
      <c r="BT239" s="2" t="n"/>
      <c r="BU239" s="2" t="n"/>
      <c r="BV239" s="2" t="n"/>
      <c r="BW239" s="2" t="n"/>
      <c r="BX239" s="2" t="n"/>
      <c r="BY239" s="2" t="n"/>
      <c r="BZ239" s="2" t="n"/>
      <c r="CA239" s="2" t="n"/>
      <c r="CB239" s="2" t="n"/>
      <c r="CC239" s="2" t="n"/>
      <c r="CD239" s="2" t="n"/>
      <c r="CE239" s="2" t="n"/>
      <c r="CF239" s="2" t="n"/>
      <c r="CG239" s="2" t="n"/>
      <c r="CH239" s="2" t="n"/>
      <c r="CI239" s="2" t="n"/>
      <c r="CJ239" s="2" t="n"/>
      <c r="CK239" s="2" t="n"/>
      <c r="CL239" s="2" t="n"/>
      <c r="CM239" s="2" t="n"/>
      <c r="CN239" s="2" t="n"/>
      <c r="CO239" s="2" t="n"/>
      <c r="CP239" s="2" t="n"/>
      <c r="CQ239" s="2" t="n"/>
      <c r="CR239" s="2" t="n"/>
      <c r="CS239" s="2" t="n"/>
      <c r="CT239" s="2" t="n"/>
      <c r="CU239" s="2" t="n"/>
      <c r="CV239" s="2" t="n"/>
      <c r="CW239" s="2" t="n"/>
      <c r="CX239" s="2" t="n"/>
      <c r="CY239" s="2" t="n"/>
      <c r="CZ239" s="2" t="n"/>
      <c r="DA239" s="2" t="n"/>
      <c r="DB239" s="2" t="n"/>
      <c r="DC239" s="2" t="n"/>
      <c r="DD239" s="2" t="n"/>
      <c r="DE239" s="2" t="n"/>
      <c r="DF239" s="2" t="n"/>
      <c r="DG239" s="2" t="n"/>
      <c r="DH239" s="2" t="n"/>
    </row>
    <row r="240" ht="12.75" customFormat="1" customHeight="1" s="76">
      <c r="A240" s="2" t="n"/>
      <c r="B240" s="62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/>
      <c r="BX240" s="2" t="n"/>
      <c r="BY240" s="2" t="n"/>
      <c r="BZ240" s="2" t="n"/>
      <c r="CA240" s="2" t="n"/>
      <c r="CB240" s="2" t="n"/>
      <c r="CC240" s="2" t="n"/>
      <c r="CD240" s="2" t="n"/>
      <c r="CE240" s="2" t="n"/>
      <c r="CF240" s="2" t="n"/>
      <c r="CG240" s="2" t="n"/>
      <c r="CH240" s="2" t="n"/>
      <c r="CI240" s="2" t="n"/>
      <c r="CJ240" s="2" t="n"/>
      <c r="CK240" s="2" t="n"/>
      <c r="CL240" s="2" t="n"/>
      <c r="CM240" s="2" t="n"/>
      <c r="CN240" s="2" t="n"/>
      <c r="CO240" s="2" t="n"/>
      <c r="CP240" s="2" t="n"/>
      <c r="CQ240" s="2" t="n"/>
      <c r="CR240" s="2" t="n"/>
      <c r="CS240" s="2" t="n"/>
      <c r="CT240" s="2" t="n"/>
      <c r="CU240" s="2" t="n"/>
      <c r="CV240" s="2" t="n"/>
      <c r="CW240" s="2" t="n"/>
      <c r="CX240" s="2" t="n"/>
      <c r="CY240" s="2" t="n"/>
      <c r="CZ240" s="2" t="n"/>
      <c r="DA240" s="2" t="n"/>
      <c r="DB240" s="2" t="n"/>
      <c r="DC240" s="2" t="n"/>
      <c r="DD240" s="2" t="n"/>
      <c r="DE240" s="2" t="n"/>
      <c r="DF240" s="2" t="n"/>
      <c r="DG240" s="2" t="n"/>
      <c r="DH240" s="2" t="n"/>
    </row>
    <row r="241" ht="12.75" customFormat="1" customHeight="1" s="76">
      <c r="A241" s="2" t="n"/>
      <c r="B241" s="62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2" t="n"/>
      <c r="AO241" s="2" t="n"/>
      <c r="AP241" s="2" t="n"/>
      <c r="AQ241" s="2" t="n"/>
      <c r="AR241" s="2" t="n"/>
      <c r="AS241" s="2" t="n"/>
      <c r="AT241" s="2" t="n"/>
      <c r="AU241" s="2" t="n"/>
      <c r="AV241" s="2" t="n"/>
      <c r="AW241" s="2" t="n"/>
      <c r="AX241" s="2" t="n"/>
      <c r="AY241" s="2" t="n"/>
      <c r="AZ241" s="2" t="n"/>
      <c r="BA241" s="2" t="n"/>
      <c r="BB241" s="2" t="n"/>
      <c r="BC241" s="2" t="n"/>
      <c r="BD241" s="2" t="n"/>
      <c r="BE241" s="2" t="n"/>
      <c r="BF241" s="2" t="n"/>
      <c r="BG241" s="2" t="n"/>
      <c r="BH241" s="2" t="n"/>
      <c r="BI241" s="2" t="n"/>
      <c r="BJ241" s="2" t="n"/>
      <c r="BK241" s="2" t="n"/>
      <c r="BL241" s="2" t="n"/>
      <c r="BM241" s="2" t="n"/>
      <c r="BN241" s="2" t="n"/>
      <c r="BO241" s="2" t="n"/>
      <c r="BP241" s="2" t="n"/>
      <c r="BQ241" s="2" t="n"/>
      <c r="BR241" s="2" t="n"/>
      <c r="BS241" s="2" t="n"/>
      <c r="BT241" s="2" t="n"/>
      <c r="BU241" s="2" t="n"/>
      <c r="BV241" s="2" t="n"/>
      <c r="BW241" s="2" t="n"/>
      <c r="BX241" s="2" t="n"/>
      <c r="BY241" s="2" t="n"/>
      <c r="BZ241" s="2" t="n"/>
      <c r="CA241" s="2" t="n"/>
      <c r="CB241" s="2" t="n"/>
      <c r="CC241" s="2" t="n"/>
      <c r="CD241" s="2" t="n"/>
      <c r="CE241" s="2" t="n"/>
      <c r="CF241" s="2" t="n"/>
      <c r="CG241" s="2" t="n"/>
      <c r="CH241" s="2" t="n"/>
      <c r="CI241" s="2" t="n"/>
      <c r="CJ241" s="2" t="n"/>
      <c r="CK241" s="2" t="n"/>
      <c r="CL241" s="2" t="n"/>
      <c r="CM241" s="2" t="n"/>
      <c r="CN241" s="2" t="n"/>
      <c r="CO241" s="2" t="n"/>
      <c r="CP241" s="2" t="n"/>
      <c r="CQ241" s="2" t="n"/>
      <c r="CR241" s="2" t="n"/>
      <c r="CS241" s="2" t="n"/>
      <c r="CT241" s="2" t="n"/>
      <c r="CU241" s="2" t="n"/>
      <c r="CV241" s="2" t="n"/>
      <c r="CW241" s="2" t="n"/>
      <c r="CX241" s="2" t="n"/>
      <c r="CY241" s="2" t="n"/>
      <c r="CZ241" s="2" t="n"/>
      <c r="DA241" s="2" t="n"/>
      <c r="DB241" s="2" t="n"/>
      <c r="DC241" s="2" t="n"/>
      <c r="DD241" s="2" t="n"/>
      <c r="DE241" s="2" t="n"/>
      <c r="DF241" s="2" t="n"/>
      <c r="DG241" s="2" t="n"/>
      <c r="DH241" s="2" t="n"/>
    </row>
    <row r="242" ht="12.75" customFormat="1" customHeight="1" s="76">
      <c r="A242" s="2" t="n"/>
      <c r="B242" s="62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2" t="n"/>
      <c r="AO242" s="2" t="n"/>
      <c r="AP242" s="2" t="n"/>
      <c r="AQ242" s="2" t="n"/>
      <c r="AR242" s="2" t="n"/>
      <c r="AS242" s="2" t="n"/>
      <c r="AT242" s="2" t="n"/>
      <c r="AU242" s="2" t="n"/>
      <c r="AV242" s="2" t="n"/>
      <c r="AW242" s="2" t="n"/>
      <c r="AX242" s="2" t="n"/>
      <c r="AY242" s="2" t="n"/>
      <c r="AZ242" s="2" t="n"/>
      <c r="BA242" s="2" t="n"/>
      <c r="BB242" s="2" t="n"/>
      <c r="BC242" s="2" t="n"/>
      <c r="BD242" s="2" t="n"/>
      <c r="BE242" s="2" t="n"/>
      <c r="BF242" s="2" t="n"/>
      <c r="BG242" s="2" t="n"/>
      <c r="BH242" s="2" t="n"/>
      <c r="BI242" s="2" t="n"/>
      <c r="BJ242" s="2" t="n"/>
      <c r="BK242" s="2" t="n"/>
      <c r="BL242" s="2" t="n"/>
      <c r="BM242" s="2" t="n"/>
      <c r="BN242" s="2" t="n"/>
      <c r="BO242" s="2" t="n"/>
      <c r="BP242" s="2" t="n"/>
      <c r="BQ242" s="2" t="n"/>
      <c r="BR242" s="2" t="n"/>
      <c r="BS242" s="2" t="n"/>
      <c r="BT242" s="2" t="n"/>
      <c r="BU242" s="2" t="n"/>
      <c r="BV242" s="2" t="n"/>
      <c r="BW242" s="2" t="n"/>
      <c r="BX242" s="2" t="n"/>
      <c r="BY242" s="2" t="n"/>
      <c r="BZ242" s="2" t="n"/>
      <c r="CA242" s="2" t="n"/>
      <c r="CB242" s="2" t="n"/>
      <c r="CC242" s="2" t="n"/>
      <c r="CD242" s="2" t="n"/>
      <c r="CE242" s="2" t="n"/>
      <c r="CF242" s="2" t="n"/>
      <c r="CG242" s="2" t="n"/>
      <c r="CH242" s="2" t="n"/>
      <c r="CI242" s="2" t="n"/>
      <c r="CJ242" s="2" t="n"/>
      <c r="CK242" s="2" t="n"/>
      <c r="CL242" s="2" t="n"/>
      <c r="CM242" s="2" t="n"/>
      <c r="CN242" s="2" t="n"/>
      <c r="CO242" s="2" t="n"/>
      <c r="CP242" s="2" t="n"/>
      <c r="CQ242" s="2" t="n"/>
      <c r="CR242" s="2" t="n"/>
      <c r="CS242" s="2" t="n"/>
      <c r="CT242" s="2" t="n"/>
      <c r="CU242" s="2" t="n"/>
      <c r="CV242" s="2" t="n"/>
      <c r="CW242" s="2" t="n"/>
      <c r="CX242" s="2" t="n"/>
      <c r="CY242" s="2" t="n"/>
      <c r="CZ242" s="2" t="n"/>
      <c r="DA242" s="2" t="n"/>
      <c r="DB242" s="2" t="n"/>
      <c r="DC242" s="2" t="n"/>
      <c r="DD242" s="2" t="n"/>
      <c r="DE242" s="2" t="n"/>
      <c r="DF242" s="2" t="n"/>
      <c r="DG242" s="2" t="n"/>
      <c r="DH242" s="2" t="n"/>
    </row>
    <row r="243" ht="12.75" customFormat="1" customHeight="1" s="76">
      <c r="A243" s="2" t="n"/>
      <c r="B243" s="62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  <c r="AU243" s="2" t="n"/>
      <c r="AV243" s="2" t="n"/>
      <c r="AW243" s="2" t="n"/>
      <c r="AX243" s="2" t="n"/>
      <c r="AY243" s="2" t="n"/>
      <c r="AZ243" s="2" t="n"/>
      <c r="BA243" s="2" t="n"/>
      <c r="BB243" s="2" t="n"/>
      <c r="BC243" s="2" t="n"/>
      <c r="BD243" s="2" t="n"/>
      <c r="BE243" s="2" t="n"/>
      <c r="BF243" s="2" t="n"/>
      <c r="BG243" s="2" t="n"/>
      <c r="BH243" s="2" t="n"/>
      <c r="BI243" s="2" t="n"/>
      <c r="BJ243" s="2" t="n"/>
      <c r="BK243" s="2" t="n"/>
      <c r="BL243" s="2" t="n"/>
      <c r="BM243" s="2" t="n"/>
      <c r="BN243" s="2" t="n"/>
      <c r="BO243" s="2" t="n"/>
      <c r="BP243" s="2" t="n"/>
      <c r="BQ243" s="2" t="n"/>
      <c r="BR243" s="2" t="n"/>
      <c r="BS243" s="2" t="n"/>
      <c r="BT243" s="2" t="n"/>
      <c r="BU243" s="2" t="n"/>
      <c r="BV243" s="2" t="n"/>
      <c r="BW243" s="2" t="n"/>
      <c r="BX243" s="2" t="n"/>
      <c r="BY243" s="2" t="n"/>
      <c r="BZ243" s="2" t="n"/>
      <c r="CA243" s="2" t="n"/>
      <c r="CB243" s="2" t="n"/>
      <c r="CC243" s="2" t="n"/>
      <c r="CD243" s="2" t="n"/>
      <c r="CE243" s="2" t="n"/>
      <c r="CF243" s="2" t="n"/>
      <c r="CG243" s="2" t="n"/>
      <c r="CH243" s="2" t="n"/>
      <c r="CI243" s="2" t="n"/>
      <c r="CJ243" s="2" t="n"/>
      <c r="CK243" s="2" t="n"/>
      <c r="CL243" s="2" t="n"/>
      <c r="CM243" s="2" t="n"/>
      <c r="CN243" s="2" t="n"/>
      <c r="CO243" s="2" t="n"/>
      <c r="CP243" s="2" t="n"/>
      <c r="CQ243" s="2" t="n"/>
      <c r="CR243" s="2" t="n"/>
      <c r="CS243" s="2" t="n"/>
      <c r="CT243" s="2" t="n"/>
      <c r="CU243" s="2" t="n"/>
      <c r="CV243" s="2" t="n"/>
      <c r="CW243" s="2" t="n"/>
      <c r="CX243" s="2" t="n"/>
      <c r="CY243" s="2" t="n"/>
      <c r="CZ243" s="2" t="n"/>
      <c r="DA243" s="2" t="n"/>
      <c r="DB243" s="2" t="n"/>
      <c r="DC243" s="2" t="n"/>
      <c r="DD243" s="2" t="n"/>
      <c r="DE243" s="2" t="n"/>
      <c r="DF243" s="2" t="n"/>
      <c r="DG243" s="2" t="n"/>
      <c r="DH243" s="2" t="n"/>
    </row>
    <row r="244" ht="12.75" customFormat="1" customHeight="1" s="76">
      <c r="A244" s="2" t="n"/>
      <c r="B244" s="62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  <c r="AU244" s="2" t="n"/>
      <c r="AV244" s="2" t="n"/>
      <c r="AW244" s="2" t="n"/>
      <c r="AX244" s="2" t="n"/>
      <c r="AY244" s="2" t="n"/>
      <c r="AZ244" s="2" t="n"/>
      <c r="BA244" s="2" t="n"/>
      <c r="BB244" s="2" t="n"/>
      <c r="BC244" s="2" t="n"/>
      <c r="BD244" s="2" t="n"/>
      <c r="BE244" s="2" t="n"/>
      <c r="BF244" s="2" t="n"/>
      <c r="BG244" s="2" t="n"/>
      <c r="BH244" s="2" t="n"/>
      <c r="BI244" s="2" t="n"/>
      <c r="BJ244" s="2" t="n"/>
      <c r="BK244" s="2" t="n"/>
      <c r="BL244" s="2" t="n"/>
      <c r="BM244" s="2" t="n"/>
      <c r="BN244" s="2" t="n"/>
      <c r="BO244" s="2" t="n"/>
      <c r="BP244" s="2" t="n"/>
      <c r="BQ244" s="2" t="n"/>
      <c r="BR244" s="2" t="n"/>
      <c r="BS244" s="2" t="n"/>
      <c r="BT244" s="2" t="n"/>
      <c r="BU244" s="2" t="n"/>
      <c r="BV244" s="2" t="n"/>
      <c r="BW244" s="2" t="n"/>
      <c r="BX244" s="2" t="n"/>
      <c r="BY244" s="2" t="n"/>
      <c r="BZ244" s="2" t="n"/>
      <c r="CA244" s="2" t="n"/>
      <c r="CB244" s="2" t="n"/>
      <c r="CC244" s="2" t="n"/>
      <c r="CD244" s="2" t="n"/>
      <c r="CE244" s="2" t="n"/>
      <c r="CF244" s="2" t="n"/>
      <c r="CG244" s="2" t="n"/>
      <c r="CH244" s="2" t="n"/>
      <c r="CI244" s="2" t="n"/>
      <c r="CJ244" s="2" t="n"/>
      <c r="CK244" s="2" t="n"/>
      <c r="CL244" s="2" t="n"/>
      <c r="CM244" s="2" t="n"/>
      <c r="CN244" s="2" t="n"/>
      <c r="CO244" s="2" t="n"/>
      <c r="CP244" s="2" t="n"/>
      <c r="CQ244" s="2" t="n"/>
      <c r="CR244" s="2" t="n"/>
      <c r="CS244" s="2" t="n"/>
      <c r="CT244" s="2" t="n"/>
      <c r="CU244" s="2" t="n"/>
      <c r="CV244" s="2" t="n"/>
      <c r="CW244" s="2" t="n"/>
      <c r="CX244" s="2" t="n"/>
      <c r="CY244" s="2" t="n"/>
      <c r="CZ244" s="2" t="n"/>
      <c r="DA244" s="2" t="n"/>
      <c r="DB244" s="2" t="n"/>
      <c r="DC244" s="2" t="n"/>
      <c r="DD244" s="2" t="n"/>
      <c r="DE244" s="2" t="n"/>
      <c r="DF244" s="2" t="n"/>
      <c r="DG244" s="2" t="n"/>
      <c r="DH244" s="2" t="n"/>
    </row>
    <row r="245" ht="12.75" customFormat="1" customHeight="1" s="76">
      <c r="A245" s="2" t="n"/>
      <c r="B245" s="62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  <c r="AU245" s="2" t="n"/>
      <c r="AV245" s="2" t="n"/>
      <c r="AW245" s="2" t="n"/>
      <c r="AX245" s="2" t="n"/>
      <c r="AY245" s="2" t="n"/>
      <c r="AZ245" s="2" t="n"/>
      <c r="BA245" s="2" t="n"/>
      <c r="BB245" s="2" t="n"/>
      <c r="BC245" s="2" t="n"/>
      <c r="BD245" s="2" t="n"/>
      <c r="BE245" s="2" t="n"/>
      <c r="BF245" s="2" t="n"/>
      <c r="BG245" s="2" t="n"/>
      <c r="BH245" s="2" t="n"/>
      <c r="BI245" s="2" t="n"/>
      <c r="BJ245" s="2" t="n"/>
      <c r="BK245" s="2" t="n"/>
      <c r="BL245" s="2" t="n"/>
      <c r="BM245" s="2" t="n"/>
      <c r="BN245" s="2" t="n"/>
      <c r="BO245" s="2" t="n"/>
      <c r="BP245" s="2" t="n"/>
      <c r="BQ245" s="2" t="n"/>
      <c r="BR245" s="2" t="n"/>
      <c r="BS245" s="2" t="n"/>
      <c r="BT245" s="2" t="n"/>
      <c r="BU245" s="2" t="n"/>
      <c r="BV245" s="2" t="n"/>
      <c r="BW245" s="2" t="n"/>
      <c r="BX245" s="2" t="n"/>
      <c r="BY245" s="2" t="n"/>
      <c r="BZ245" s="2" t="n"/>
      <c r="CA245" s="2" t="n"/>
      <c r="CB245" s="2" t="n"/>
      <c r="CC245" s="2" t="n"/>
      <c r="CD245" s="2" t="n"/>
      <c r="CE245" s="2" t="n"/>
      <c r="CF245" s="2" t="n"/>
      <c r="CG245" s="2" t="n"/>
      <c r="CH245" s="2" t="n"/>
      <c r="CI245" s="2" t="n"/>
      <c r="CJ245" s="2" t="n"/>
      <c r="CK245" s="2" t="n"/>
      <c r="CL245" s="2" t="n"/>
      <c r="CM245" s="2" t="n"/>
      <c r="CN245" s="2" t="n"/>
      <c r="CO245" s="2" t="n"/>
      <c r="CP245" s="2" t="n"/>
      <c r="CQ245" s="2" t="n"/>
      <c r="CR245" s="2" t="n"/>
      <c r="CS245" s="2" t="n"/>
      <c r="CT245" s="2" t="n"/>
      <c r="CU245" s="2" t="n"/>
      <c r="CV245" s="2" t="n"/>
      <c r="CW245" s="2" t="n"/>
      <c r="CX245" s="2" t="n"/>
      <c r="CY245" s="2" t="n"/>
      <c r="CZ245" s="2" t="n"/>
      <c r="DA245" s="2" t="n"/>
      <c r="DB245" s="2" t="n"/>
      <c r="DC245" s="2" t="n"/>
      <c r="DD245" s="2" t="n"/>
      <c r="DE245" s="2" t="n"/>
      <c r="DF245" s="2" t="n"/>
      <c r="DG245" s="2" t="n"/>
      <c r="DH245" s="2" t="n"/>
    </row>
    <row r="246" ht="12.75" customFormat="1" customHeight="1" s="76">
      <c r="A246" s="2" t="n"/>
      <c r="B246" s="62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  <c r="AU246" s="2" t="n"/>
      <c r="AV246" s="2" t="n"/>
      <c r="AW246" s="2" t="n"/>
      <c r="AX246" s="2" t="n"/>
      <c r="AY246" s="2" t="n"/>
      <c r="AZ246" s="2" t="n"/>
      <c r="BA246" s="2" t="n"/>
      <c r="BB246" s="2" t="n"/>
      <c r="BC246" s="2" t="n"/>
      <c r="BD246" s="2" t="n"/>
      <c r="BE246" s="2" t="n"/>
      <c r="BF246" s="2" t="n"/>
      <c r="BG246" s="2" t="n"/>
      <c r="BH246" s="2" t="n"/>
      <c r="BI246" s="2" t="n"/>
      <c r="BJ246" s="2" t="n"/>
      <c r="BK246" s="2" t="n"/>
      <c r="BL246" s="2" t="n"/>
      <c r="BM246" s="2" t="n"/>
      <c r="BN246" s="2" t="n"/>
      <c r="BO246" s="2" t="n"/>
      <c r="BP246" s="2" t="n"/>
      <c r="BQ246" s="2" t="n"/>
      <c r="BR246" s="2" t="n"/>
      <c r="BS246" s="2" t="n"/>
      <c r="BT246" s="2" t="n"/>
      <c r="BU246" s="2" t="n"/>
      <c r="BV246" s="2" t="n"/>
      <c r="BW246" s="2" t="n"/>
      <c r="BX246" s="2" t="n"/>
      <c r="BY246" s="2" t="n"/>
      <c r="BZ246" s="2" t="n"/>
      <c r="CA246" s="2" t="n"/>
      <c r="CB246" s="2" t="n"/>
      <c r="CC246" s="2" t="n"/>
      <c r="CD246" s="2" t="n"/>
      <c r="CE246" s="2" t="n"/>
      <c r="CF246" s="2" t="n"/>
      <c r="CG246" s="2" t="n"/>
      <c r="CH246" s="2" t="n"/>
      <c r="CI246" s="2" t="n"/>
      <c r="CJ246" s="2" t="n"/>
      <c r="CK246" s="2" t="n"/>
      <c r="CL246" s="2" t="n"/>
      <c r="CM246" s="2" t="n"/>
      <c r="CN246" s="2" t="n"/>
      <c r="CO246" s="2" t="n"/>
      <c r="CP246" s="2" t="n"/>
      <c r="CQ246" s="2" t="n"/>
      <c r="CR246" s="2" t="n"/>
      <c r="CS246" s="2" t="n"/>
      <c r="CT246" s="2" t="n"/>
      <c r="CU246" s="2" t="n"/>
      <c r="CV246" s="2" t="n"/>
      <c r="CW246" s="2" t="n"/>
      <c r="CX246" s="2" t="n"/>
      <c r="CY246" s="2" t="n"/>
      <c r="CZ246" s="2" t="n"/>
      <c r="DA246" s="2" t="n"/>
      <c r="DB246" s="2" t="n"/>
      <c r="DC246" s="2" t="n"/>
      <c r="DD246" s="2" t="n"/>
      <c r="DE246" s="2" t="n"/>
      <c r="DF246" s="2" t="n"/>
      <c r="DG246" s="2" t="n"/>
      <c r="DH246" s="2" t="n"/>
    </row>
    <row r="247" ht="12.75" customFormat="1" customHeight="1" s="76">
      <c r="A247" s="2" t="n"/>
      <c r="B247" s="62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  <c r="AU247" s="2" t="n"/>
      <c r="AV247" s="2" t="n"/>
      <c r="AW247" s="2" t="n"/>
      <c r="AX247" s="2" t="n"/>
      <c r="AY247" s="2" t="n"/>
      <c r="AZ247" s="2" t="n"/>
      <c r="BA247" s="2" t="n"/>
      <c r="BB247" s="2" t="n"/>
      <c r="BC247" s="2" t="n"/>
      <c r="BD247" s="2" t="n"/>
      <c r="BE247" s="2" t="n"/>
      <c r="BF247" s="2" t="n"/>
      <c r="BG247" s="2" t="n"/>
      <c r="BH247" s="2" t="n"/>
      <c r="BI247" s="2" t="n"/>
      <c r="BJ247" s="2" t="n"/>
      <c r="BK247" s="2" t="n"/>
      <c r="BL247" s="2" t="n"/>
      <c r="BM247" s="2" t="n"/>
      <c r="BN247" s="2" t="n"/>
      <c r="BO247" s="2" t="n"/>
      <c r="BP247" s="2" t="n"/>
      <c r="BQ247" s="2" t="n"/>
      <c r="BR247" s="2" t="n"/>
      <c r="BS247" s="2" t="n"/>
      <c r="BT247" s="2" t="n"/>
      <c r="BU247" s="2" t="n"/>
      <c r="BV247" s="2" t="n"/>
      <c r="BW247" s="2" t="n"/>
      <c r="BX247" s="2" t="n"/>
      <c r="BY247" s="2" t="n"/>
      <c r="BZ247" s="2" t="n"/>
      <c r="CA247" s="2" t="n"/>
      <c r="CB247" s="2" t="n"/>
      <c r="CC247" s="2" t="n"/>
      <c r="CD247" s="2" t="n"/>
      <c r="CE247" s="2" t="n"/>
      <c r="CF247" s="2" t="n"/>
      <c r="CG247" s="2" t="n"/>
      <c r="CH247" s="2" t="n"/>
      <c r="CI247" s="2" t="n"/>
      <c r="CJ247" s="2" t="n"/>
      <c r="CK247" s="2" t="n"/>
      <c r="CL247" s="2" t="n"/>
      <c r="CM247" s="2" t="n"/>
      <c r="CN247" s="2" t="n"/>
      <c r="CO247" s="2" t="n"/>
      <c r="CP247" s="2" t="n"/>
      <c r="CQ247" s="2" t="n"/>
      <c r="CR247" s="2" t="n"/>
      <c r="CS247" s="2" t="n"/>
      <c r="CT247" s="2" t="n"/>
      <c r="CU247" s="2" t="n"/>
      <c r="CV247" s="2" t="n"/>
      <c r="CW247" s="2" t="n"/>
      <c r="CX247" s="2" t="n"/>
      <c r="CY247" s="2" t="n"/>
      <c r="CZ247" s="2" t="n"/>
      <c r="DA247" s="2" t="n"/>
      <c r="DB247" s="2" t="n"/>
      <c r="DC247" s="2" t="n"/>
      <c r="DD247" s="2" t="n"/>
      <c r="DE247" s="2" t="n"/>
      <c r="DF247" s="2" t="n"/>
      <c r="DG247" s="2" t="n"/>
      <c r="DH247" s="2" t="n"/>
    </row>
    <row r="248" ht="12.75" customFormat="1" customHeight="1" s="76">
      <c r="A248" s="2" t="n"/>
      <c r="B248" s="62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  <c r="AU248" s="2" t="n"/>
      <c r="AV248" s="2" t="n"/>
      <c r="AW248" s="2" t="n"/>
      <c r="AX248" s="2" t="n"/>
      <c r="AY248" s="2" t="n"/>
      <c r="AZ248" s="2" t="n"/>
      <c r="BA248" s="2" t="n"/>
      <c r="BB248" s="2" t="n"/>
      <c r="BC248" s="2" t="n"/>
      <c r="BD248" s="2" t="n"/>
      <c r="BE248" s="2" t="n"/>
      <c r="BF248" s="2" t="n"/>
      <c r="BG248" s="2" t="n"/>
      <c r="BH248" s="2" t="n"/>
      <c r="BI248" s="2" t="n"/>
      <c r="BJ248" s="2" t="n"/>
      <c r="BK248" s="2" t="n"/>
      <c r="BL248" s="2" t="n"/>
      <c r="BM248" s="2" t="n"/>
      <c r="BN248" s="2" t="n"/>
      <c r="BO248" s="2" t="n"/>
      <c r="BP248" s="2" t="n"/>
      <c r="BQ248" s="2" t="n"/>
      <c r="BR248" s="2" t="n"/>
      <c r="BS248" s="2" t="n"/>
      <c r="BT248" s="2" t="n"/>
      <c r="BU248" s="2" t="n"/>
      <c r="BV248" s="2" t="n"/>
      <c r="BW248" s="2" t="n"/>
      <c r="BX248" s="2" t="n"/>
      <c r="BY248" s="2" t="n"/>
      <c r="BZ248" s="2" t="n"/>
      <c r="CA248" s="2" t="n"/>
      <c r="CB248" s="2" t="n"/>
      <c r="CC248" s="2" t="n"/>
      <c r="CD248" s="2" t="n"/>
      <c r="CE248" s="2" t="n"/>
      <c r="CF248" s="2" t="n"/>
      <c r="CG248" s="2" t="n"/>
      <c r="CH248" s="2" t="n"/>
      <c r="CI248" s="2" t="n"/>
      <c r="CJ248" s="2" t="n"/>
      <c r="CK248" s="2" t="n"/>
      <c r="CL248" s="2" t="n"/>
      <c r="CM248" s="2" t="n"/>
      <c r="CN248" s="2" t="n"/>
      <c r="CO248" s="2" t="n"/>
      <c r="CP248" s="2" t="n"/>
      <c r="CQ248" s="2" t="n"/>
      <c r="CR248" s="2" t="n"/>
      <c r="CS248" s="2" t="n"/>
      <c r="CT248" s="2" t="n"/>
      <c r="CU248" s="2" t="n"/>
      <c r="CV248" s="2" t="n"/>
      <c r="CW248" s="2" t="n"/>
      <c r="CX248" s="2" t="n"/>
      <c r="CY248" s="2" t="n"/>
      <c r="CZ248" s="2" t="n"/>
      <c r="DA248" s="2" t="n"/>
      <c r="DB248" s="2" t="n"/>
      <c r="DC248" s="2" t="n"/>
      <c r="DD248" s="2" t="n"/>
      <c r="DE248" s="2" t="n"/>
      <c r="DF248" s="2" t="n"/>
      <c r="DG248" s="2" t="n"/>
      <c r="DH248" s="2" t="n"/>
    </row>
    <row r="249" ht="12.75" customFormat="1" customHeight="1" s="76">
      <c r="A249" s="2" t="n"/>
      <c r="B249" s="62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/>
      <c r="CB249" s="2" t="n"/>
      <c r="CC249" s="2" t="n"/>
      <c r="CD249" s="2" t="n"/>
      <c r="CE249" s="2" t="n"/>
      <c r="CF249" s="2" t="n"/>
      <c r="CG249" s="2" t="n"/>
      <c r="CH249" s="2" t="n"/>
      <c r="CI249" s="2" t="n"/>
      <c r="CJ249" s="2" t="n"/>
      <c r="CK249" s="2" t="n"/>
      <c r="CL249" s="2" t="n"/>
      <c r="CM249" s="2" t="n"/>
      <c r="CN249" s="2" t="n"/>
      <c r="CO249" s="2" t="n"/>
      <c r="CP249" s="2" t="n"/>
      <c r="CQ249" s="2" t="n"/>
      <c r="CR249" s="2" t="n"/>
      <c r="CS249" s="2" t="n"/>
      <c r="CT249" s="2" t="n"/>
      <c r="CU249" s="2" t="n"/>
      <c r="CV249" s="2" t="n"/>
      <c r="CW249" s="2" t="n"/>
      <c r="CX249" s="2" t="n"/>
      <c r="CY249" s="2" t="n"/>
      <c r="CZ249" s="2" t="n"/>
      <c r="DA249" s="2" t="n"/>
      <c r="DB249" s="2" t="n"/>
      <c r="DC249" s="2" t="n"/>
      <c r="DD249" s="2" t="n"/>
      <c r="DE249" s="2" t="n"/>
      <c r="DF249" s="2" t="n"/>
      <c r="DG249" s="2" t="n"/>
      <c r="DH249" s="2" t="n"/>
    </row>
    <row r="250" ht="12.75" customFormat="1" customHeight="1" s="76">
      <c r="A250" s="2" t="n"/>
      <c r="B250" s="62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/>
      <c r="BB250" s="2" t="n"/>
      <c r="BC250" s="2" t="n"/>
      <c r="BD250" s="2" t="n"/>
      <c r="BE250" s="2" t="n"/>
      <c r="BF250" s="2" t="n"/>
      <c r="BG250" s="2" t="n"/>
      <c r="BH250" s="2" t="n"/>
      <c r="BI250" s="2" t="n"/>
      <c r="BJ250" s="2" t="n"/>
      <c r="BK250" s="2" t="n"/>
      <c r="BL250" s="2" t="n"/>
      <c r="BM250" s="2" t="n"/>
      <c r="BN250" s="2" t="n"/>
      <c r="BO250" s="2" t="n"/>
      <c r="BP250" s="2" t="n"/>
      <c r="BQ250" s="2" t="n"/>
      <c r="BR250" s="2" t="n"/>
      <c r="BS250" s="2" t="n"/>
      <c r="BT250" s="2" t="n"/>
      <c r="BU250" s="2" t="n"/>
      <c r="BV250" s="2" t="n"/>
      <c r="BW250" s="2" t="n"/>
      <c r="BX250" s="2" t="n"/>
      <c r="BY250" s="2" t="n"/>
      <c r="BZ250" s="2" t="n"/>
      <c r="CA250" s="2" t="n"/>
      <c r="CB250" s="2" t="n"/>
      <c r="CC250" s="2" t="n"/>
      <c r="CD250" s="2" t="n"/>
      <c r="CE250" s="2" t="n"/>
      <c r="CF250" s="2" t="n"/>
      <c r="CG250" s="2" t="n"/>
      <c r="CH250" s="2" t="n"/>
      <c r="CI250" s="2" t="n"/>
      <c r="CJ250" s="2" t="n"/>
      <c r="CK250" s="2" t="n"/>
      <c r="CL250" s="2" t="n"/>
      <c r="CM250" s="2" t="n"/>
      <c r="CN250" s="2" t="n"/>
      <c r="CO250" s="2" t="n"/>
      <c r="CP250" s="2" t="n"/>
      <c r="CQ250" s="2" t="n"/>
      <c r="CR250" s="2" t="n"/>
      <c r="CS250" s="2" t="n"/>
      <c r="CT250" s="2" t="n"/>
      <c r="CU250" s="2" t="n"/>
      <c r="CV250" s="2" t="n"/>
      <c r="CW250" s="2" t="n"/>
      <c r="CX250" s="2" t="n"/>
      <c r="CY250" s="2" t="n"/>
      <c r="CZ250" s="2" t="n"/>
      <c r="DA250" s="2" t="n"/>
      <c r="DB250" s="2" t="n"/>
      <c r="DC250" s="2" t="n"/>
      <c r="DD250" s="2" t="n"/>
      <c r="DE250" s="2" t="n"/>
      <c r="DF250" s="2" t="n"/>
      <c r="DG250" s="2" t="n"/>
      <c r="DH250" s="2" t="n"/>
    </row>
    <row r="251" ht="12.75" customFormat="1" customHeight="1" s="76">
      <c r="A251" s="2" t="n"/>
      <c r="B251" s="62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  <c r="AU251" s="2" t="n"/>
      <c r="AV251" s="2" t="n"/>
      <c r="AW251" s="2" t="n"/>
      <c r="AX251" s="2" t="n"/>
      <c r="AY251" s="2" t="n"/>
      <c r="AZ251" s="2" t="n"/>
      <c r="BA251" s="2" t="n"/>
      <c r="BB251" s="2" t="n"/>
      <c r="BC251" s="2" t="n"/>
      <c r="BD251" s="2" t="n"/>
      <c r="BE251" s="2" t="n"/>
      <c r="BF251" s="2" t="n"/>
      <c r="BG251" s="2" t="n"/>
      <c r="BH251" s="2" t="n"/>
      <c r="BI251" s="2" t="n"/>
      <c r="BJ251" s="2" t="n"/>
      <c r="BK251" s="2" t="n"/>
      <c r="BL251" s="2" t="n"/>
      <c r="BM251" s="2" t="n"/>
      <c r="BN251" s="2" t="n"/>
      <c r="BO251" s="2" t="n"/>
      <c r="BP251" s="2" t="n"/>
      <c r="BQ251" s="2" t="n"/>
      <c r="BR251" s="2" t="n"/>
      <c r="BS251" s="2" t="n"/>
      <c r="BT251" s="2" t="n"/>
      <c r="BU251" s="2" t="n"/>
      <c r="BV251" s="2" t="n"/>
      <c r="BW251" s="2" t="n"/>
      <c r="BX251" s="2" t="n"/>
      <c r="BY251" s="2" t="n"/>
      <c r="BZ251" s="2" t="n"/>
      <c r="CA251" s="2" t="n"/>
      <c r="CB251" s="2" t="n"/>
      <c r="CC251" s="2" t="n"/>
      <c r="CD251" s="2" t="n"/>
      <c r="CE251" s="2" t="n"/>
      <c r="CF251" s="2" t="n"/>
      <c r="CG251" s="2" t="n"/>
      <c r="CH251" s="2" t="n"/>
      <c r="CI251" s="2" t="n"/>
      <c r="CJ251" s="2" t="n"/>
      <c r="CK251" s="2" t="n"/>
      <c r="CL251" s="2" t="n"/>
      <c r="CM251" s="2" t="n"/>
      <c r="CN251" s="2" t="n"/>
      <c r="CO251" s="2" t="n"/>
      <c r="CP251" s="2" t="n"/>
      <c r="CQ251" s="2" t="n"/>
      <c r="CR251" s="2" t="n"/>
      <c r="CS251" s="2" t="n"/>
      <c r="CT251" s="2" t="n"/>
      <c r="CU251" s="2" t="n"/>
      <c r="CV251" s="2" t="n"/>
      <c r="CW251" s="2" t="n"/>
      <c r="CX251" s="2" t="n"/>
      <c r="CY251" s="2" t="n"/>
      <c r="CZ251" s="2" t="n"/>
      <c r="DA251" s="2" t="n"/>
      <c r="DB251" s="2" t="n"/>
      <c r="DC251" s="2" t="n"/>
      <c r="DD251" s="2" t="n"/>
      <c r="DE251" s="2" t="n"/>
      <c r="DF251" s="2" t="n"/>
      <c r="DG251" s="2" t="n"/>
      <c r="DH251" s="2" t="n"/>
    </row>
    <row r="252" ht="12.75" customFormat="1" customHeight="1" s="76">
      <c r="A252" s="2" t="n"/>
      <c r="B252" s="62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2" t="n"/>
      <c r="AO252" s="2" t="n"/>
      <c r="AP252" s="2" t="n"/>
      <c r="AQ252" s="2" t="n"/>
      <c r="AR252" s="2" t="n"/>
      <c r="AS252" s="2" t="n"/>
      <c r="AT252" s="2" t="n"/>
      <c r="AU252" s="2" t="n"/>
      <c r="AV252" s="2" t="n"/>
      <c r="AW252" s="2" t="n"/>
      <c r="AX252" s="2" t="n"/>
      <c r="AY252" s="2" t="n"/>
      <c r="AZ252" s="2" t="n"/>
      <c r="BA252" s="2" t="n"/>
      <c r="BB252" s="2" t="n"/>
      <c r="BC252" s="2" t="n"/>
      <c r="BD252" s="2" t="n"/>
      <c r="BE252" s="2" t="n"/>
      <c r="BF252" s="2" t="n"/>
      <c r="BG252" s="2" t="n"/>
      <c r="BH252" s="2" t="n"/>
      <c r="BI252" s="2" t="n"/>
      <c r="BJ252" s="2" t="n"/>
      <c r="BK252" s="2" t="n"/>
      <c r="BL252" s="2" t="n"/>
      <c r="BM252" s="2" t="n"/>
      <c r="BN252" s="2" t="n"/>
      <c r="BO252" s="2" t="n"/>
      <c r="BP252" s="2" t="n"/>
      <c r="BQ252" s="2" t="n"/>
      <c r="BR252" s="2" t="n"/>
      <c r="BS252" s="2" t="n"/>
      <c r="BT252" s="2" t="n"/>
      <c r="BU252" s="2" t="n"/>
      <c r="BV252" s="2" t="n"/>
      <c r="BW252" s="2" t="n"/>
      <c r="BX252" s="2" t="n"/>
      <c r="BY252" s="2" t="n"/>
      <c r="BZ252" s="2" t="n"/>
      <c r="CA252" s="2" t="n"/>
      <c r="CB252" s="2" t="n"/>
      <c r="CC252" s="2" t="n"/>
      <c r="CD252" s="2" t="n"/>
      <c r="CE252" s="2" t="n"/>
      <c r="CF252" s="2" t="n"/>
      <c r="CG252" s="2" t="n"/>
      <c r="CH252" s="2" t="n"/>
      <c r="CI252" s="2" t="n"/>
      <c r="CJ252" s="2" t="n"/>
      <c r="CK252" s="2" t="n"/>
      <c r="CL252" s="2" t="n"/>
      <c r="CM252" s="2" t="n"/>
      <c r="CN252" s="2" t="n"/>
      <c r="CO252" s="2" t="n"/>
      <c r="CP252" s="2" t="n"/>
      <c r="CQ252" s="2" t="n"/>
      <c r="CR252" s="2" t="n"/>
      <c r="CS252" s="2" t="n"/>
      <c r="CT252" s="2" t="n"/>
      <c r="CU252" s="2" t="n"/>
      <c r="CV252" s="2" t="n"/>
      <c r="CW252" s="2" t="n"/>
      <c r="CX252" s="2" t="n"/>
      <c r="CY252" s="2" t="n"/>
      <c r="CZ252" s="2" t="n"/>
      <c r="DA252" s="2" t="n"/>
      <c r="DB252" s="2" t="n"/>
      <c r="DC252" s="2" t="n"/>
      <c r="DD252" s="2" t="n"/>
      <c r="DE252" s="2" t="n"/>
      <c r="DF252" s="2" t="n"/>
      <c r="DG252" s="2" t="n"/>
      <c r="DH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</sheetData>
  <mergeCells count="3">
    <mergeCell ref="A48:B48"/>
    <mergeCell ref="A51:B51"/>
    <mergeCell ref="A52:B52"/>
  </mergeCells>
  <dataValidations count="12">
    <dataValidation sqref="C66:CM66" showDropDown="0" showInputMessage="0" showErrorMessage="0" allowBlank="1" type="list">
      <formula1>"да,нет,только если есть промежуточный кадр"</formula1>
    </dataValidation>
    <dataValidation sqref="C70:CM70" showDropDown="0" showInputMessage="0" showErrorMessage="0" allowBlank="1" type="list">
      <formula1>"достаточно фона,нужен персонаж,нужен прошлый кадр,нужен исходный референс,нужно всё: фон + персонаж + прошлый кадр"</formula1>
    </dataValidation>
    <dataValidation sqref="C74:CM74" showDropDown="0" showInputMessage="0" showErrorMessage="0" allowBlank="1" type="list">
      <formula1>"новый фон,продолжение фона,фон на основе референса,предметная сцена,интерьер,экстерьер"</formula1>
    </dataValidation>
    <dataValidation sqref="C91:CM91" showDropDown="0" showInputMessage="0" showErrorMessage="0" allowBlank="1" type="list">
      <formula1>"без персонажа,новый персонаж,тот же персонаж,тот же персонаж с изменением позы,тот же персонаж с изменением эмоции,другой персонаж"</formula1>
    </dataValidation>
    <dataValidation sqref="C104:CM104" showDropDown="0" showInputMessage="0" showErrorMessage="0" allowBlank="1" type="list">
      <formula1>"итоговый референс кадра,референс фона,референс персонажа,промежуточный референс,референс перехода"</formula1>
    </dataValidation>
    <dataValidation sqref="C120:CM121" showDropDown="0" showInputMessage="0" showErrorMessage="0" allowBlank="1" type="list">
      <formula1>"резкая склейка,плавный переход,match cut,через движение,через предмет,через свет,из темноты,в темноту,без перехода"</formula1>
    </dataValidation>
    <dataValidation sqref="C123:CM123" showDropDown="0" showInputMessage="0" showErrorMessage="0" allowBlank="1" type="list">
      <formula1>"очень медленный,медленный,средний,быстрый,резкий монтажный"</formula1>
    </dataValidation>
    <dataValidation sqref="C130:CM130" showDropDown="0" showInputMessage="0" showErrorMessage="0" allowBlank="1" type="list">
      <formula1>"штатив,макро-рельс,плавный handheld,стабилизатор,лёгкая тряска,без движения"</formula1>
    </dataValidation>
    <dataValidation sqref="C155:CM155" showDropDown="0" showInputMessage="0" showErrorMessage="0" allowBlank="1" type="list">
      <formula1>"черновик,готово к фото-референсу,фото утверждено,готово к видео,нужна правка,заблокировано"</formula1>
    </dataValidation>
    <dataValidation sqref="D58:CM59" showDropDown="0" showInputMessage="0" showErrorMessage="0" allowBlank="1" type="list">
      <formula1>"новый основной кадр,прямое продолжение,промежуточный кадр,резкий переход,cutaway / вставка,финальный кадр сцены"</formula1>
    </dataValidation>
    <dataValidation sqref="D60:CM60" showDropDown="0" showInputMessage="0" showErrorMessage="0" allowBlank="1" type="list">
      <formula1>"не продолжение,прямое продолжение прошлого кадра,на основе исходного референса,на основе фона,на основе персонажа,новая сцена"</formula1>
    </dataValidation>
    <dataValidation sqref="D61:CM62" showDropDown="0" showInputMessage="0" showErrorMessage="0" allowBlank="1" type="list">
      <formula1>"фон + персонаж,готовый референс,прошлый кадр,только фон,только персонаж,фон + предмет, без персонажа"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2.75"/>
  <cols>
    <col width="31.7109375" customWidth="1" min="1" max="1"/>
    <col width="45.7109375" customWidth="1" style="56" min="2" max="2"/>
    <col width="24" customWidth="1" min="3" max="10"/>
  </cols>
  <sheetData>
    <row r="1" ht="21.95" customHeight="1">
      <c r="A1" t="inlineStr">
        <is>
          <t>ID фона</t>
        </is>
      </c>
      <c r="B1" s="55" t="n"/>
      <c r="C1" s="58" t="inlineStr">
        <is>
          <t>f01</t>
        </is>
      </c>
      <c r="D1" s="58" t="inlineStr">
        <is>
          <t>f02</t>
        </is>
      </c>
      <c r="E1" s="58" t="inlineStr">
        <is>
          <t>f03</t>
        </is>
      </c>
      <c r="F1" s="58" t="inlineStr">
        <is>
          <t>f04</t>
        </is>
      </c>
      <c r="G1" s="58" t="inlineStr">
        <is>
          <t>f05</t>
        </is>
      </c>
      <c r="H1" s="58" t="inlineStr">
        <is>
          <t>f06</t>
        </is>
      </c>
      <c r="I1" s="58" t="inlineStr">
        <is>
          <t>f07</t>
        </is>
      </c>
      <c r="J1" s="58" t="inlineStr">
        <is>
          <t>f08</t>
        </is>
      </c>
    </row>
    <row r="2" ht="54.95" customHeight="1">
      <c r="A2" t="inlineStr">
        <is>
          <t>Тип фона</t>
        </is>
      </c>
      <c r="C2" s="58" t="n"/>
      <c r="D2" s="58" t="n"/>
      <c r="E2" s="58" t="n"/>
      <c r="F2" s="58" t="n"/>
      <c r="G2" s="58" t="n"/>
      <c r="H2" s="58" t="n"/>
      <c r="I2" s="58" t="n"/>
      <c r="J2" s="58" t="n"/>
    </row>
    <row r="3" ht="54.95" customHeight="1">
      <c r="A3" t="inlineStr">
        <is>
          <t>Основа фона / референса</t>
        </is>
      </c>
      <c r="C3" s="58" t="n"/>
      <c r="D3" s="58" t="n"/>
      <c r="E3" s="58" t="n"/>
      <c r="F3" s="58" t="n"/>
      <c r="G3" s="58" t="n"/>
      <c r="H3" s="58" t="n"/>
      <c r="I3" s="58" t="n"/>
      <c r="J3" s="58" t="n"/>
    </row>
    <row r="4" ht="54.95" customHeight="1">
      <c r="A4" s="54" t="inlineStr">
        <is>
          <t>Изменения на основе референса</t>
        </is>
      </c>
      <c r="C4" s="58" t="n"/>
      <c r="D4" s="58" t="n"/>
      <c r="E4" s="58" t="n"/>
      <c r="F4" s="58" t="n"/>
      <c r="G4" s="58" t="n"/>
      <c r="H4" s="58" t="n"/>
      <c r="I4" s="58" t="n"/>
      <c r="J4" s="58" t="n"/>
    </row>
    <row r="5" ht="54.95" customHeight="1">
      <c r="A5" t="inlineStr">
        <is>
          <t>Место</t>
        </is>
      </c>
      <c r="C5" s="58" t="n"/>
      <c r="D5" s="58" t="n"/>
      <c r="E5" s="58" t="n"/>
      <c r="F5" s="58" t="n"/>
      <c r="G5" s="58" t="n"/>
      <c r="H5" s="58" t="n"/>
      <c r="I5" s="58" t="n"/>
      <c r="J5" s="58" t="n"/>
    </row>
    <row r="6" ht="54.95" customHeight="1">
      <c r="A6" t="inlineStr">
        <is>
          <t>Эпоха / временной слой</t>
        </is>
      </c>
      <c r="C6" s="58" t="n"/>
      <c r="D6" s="58" t="n"/>
      <c r="E6" s="58" t="n"/>
      <c r="F6" s="58" t="n"/>
      <c r="G6" s="58" t="n"/>
      <c r="H6" s="58" t="n"/>
      <c r="I6" s="58" t="n"/>
      <c r="J6" s="58" t="n"/>
    </row>
    <row r="7" ht="54.95" customHeight="1">
      <c r="A7" t="inlineStr">
        <is>
          <t>Атмосфера</t>
        </is>
      </c>
      <c r="C7" s="58" t="n"/>
      <c r="D7" s="58" t="n"/>
      <c r="E7" s="58" t="n"/>
      <c r="F7" s="58" t="n"/>
      <c r="G7" s="58" t="n"/>
      <c r="H7" s="58" t="n"/>
      <c r="I7" s="58" t="n"/>
      <c r="J7" s="58" t="n"/>
    </row>
    <row r="8" ht="54.95" customHeight="1">
      <c r="A8" t="inlineStr">
        <is>
          <t>Геометрия пространства</t>
        </is>
      </c>
      <c r="C8" s="58" t="n"/>
      <c r="D8" s="58" t="n"/>
      <c r="E8" s="58" t="n"/>
      <c r="F8" s="58" t="n"/>
      <c r="G8" s="58" t="n"/>
      <c r="H8" s="58" t="n"/>
      <c r="I8" s="58" t="n"/>
      <c r="J8" s="58" t="n"/>
    </row>
    <row r="9" ht="54.95" customHeight="1">
      <c r="A9" t="inlineStr">
        <is>
          <t>Ключевые предметы фона</t>
        </is>
      </c>
      <c r="C9" s="58" t="n"/>
      <c r="D9" s="58" t="n"/>
      <c r="E9" s="58" t="n"/>
      <c r="F9" s="58" t="n"/>
      <c r="G9" s="58" t="n"/>
      <c r="H9" s="58" t="n"/>
      <c r="I9" s="58" t="n"/>
      <c r="J9" s="58" t="n"/>
    </row>
    <row r="10" ht="54.95" customHeight="1">
      <c r="A10" t="inlineStr">
        <is>
          <t>Материалы и фактуры</t>
        </is>
      </c>
      <c r="C10" s="58" t="n"/>
      <c r="D10" s="58" t="n"/>
      <c r="E10" s="58" t="n"/>
      <c r="F10" s="58" t="n"/>
      <c r="G10" s="58" t="n"/>
      <c r="H10" s="58" t="n"/>
      <c r="I10" s="58" t="n"/>
      <c r="J10" s="58" t="n"/>
    </row>
    <row r="11" ht="54.95" customHeight="1">
      <c r="A11" t="inlineStr">
        <is>
          <t>Свет фона</t>
        </is>
      </c>
      <c r="C11" s="58" t="n"/>
      <c r="D11" s="58" t="n"/>
      <c r="E11" s="58" t="n"/>
      <c r="F11" s="58" t="n"/>
      <c r="G11" s="58" t="n"/>
      <c r="H11" s="58" t="n"/>
      <c r="I11" s="58" t="n"/>
      <c r="J11" s="58" t="n"/>
    </row>
    <row r="12" ht="54.95" customHeight="1">
      <c r="A12" t="inlineStr">
        <is>
          <t>Цветовая палитра фона</t>
        </is>
      </c>
      <c r="C12" s="58" t="n"/>
      <c r="D12" s="58" t="n"/>
      <c r="E12" s="58" t="n"/>
      <c r="F12" s="58" t="n"/>
      <c r="G12" s="58" t="n"/>
      <c r="H12" s="58" t="n"/>
      <c r="I12" s="58" t="n"/>
      <c r="J12" s="58" t="n"/>
    </row>
    <row r="13" ht="54.95" customHeight="1">
      <c r="A13" t="inlineStr">
        <is>
          <t>Что нельзя добавлять в фон</t>
        </is>
      </c>
      <c r="C13" s="58" t="n"/>
      <c r="D13" s="58" t="n"/>
      <c r="E13" s="58" t="n"/>
      <c r="F13" s="58" t="n"/>
      <c r="G13" s="58" t="n"/>
      <c r="H13" s="58" t="n"/>
      <c r="I13" s="58" t="n"/>
      <c r="J13" s="58" t="n"/>
    </row>
    <row r="14" ht="54.95" customHeight="1">
      <c r="A14" s="54" t="inlineStr">
        <is>
          <t>Погода</t>
        </is>
      </c>
      <c r="C14" s="58" t="n"/>
      <c r="D14" s="58" t="n"/>
      <c r="E14" s="58" t="n"/>
      <c r="F14" s="58" t="n"/>
      <c r="G14" s="58" t="n"/>
      <c r="H14" s="58" t="n"/>
      <c r="I14" s="58" t="n"/>
      <c r="J14" s="58" t="n"/>
    </row>
    <row r="15" ht="54.95" customHeight="1">
      <c r="A15" t="inlineStr">
        <is>
          <t>Негативный промт фона</t>
        </is>
      </c>
      <c r="C15" s="58" t="n"/>
      <c r="D15" s="58" t="n"/>
      <c r="E15" s="58" t="n"/>
      <c r="F15" s="58" t="n"/>
      <c r="G15" s="58" t="n"/>
      <c r="H15" s="58" t="n"/>
      <c r="I15" s="58" t="n"/>
      <c r="J15" s="58" t="n"/>
    </row>
    <row r="16" ht="54.95" customHeight="1">
      <c r="A16" s="54" t="inlineStr">
        <is>
          <t>передний план</t>
        </is>
      </c>
      <c r="C16" s="58" t="n"/>
      <c r="D16" s="58" t="n"/>
      <c r="E16" s="58" t="n"/>
      <c r="F16" s="58" t="n"/>
      <c r="G16" s="58" t="n"/>
      <c r="H16" s="58" t="n"/>
      <c r="I16" s="58" t="n"/>
      <c r="J16" s="58" t="n"/>
    </row>
    <row r="17" ht="54.95" customHeight="1">
      <c r="A17" s="54" t="inlineStr">
        <is>
          <t>средний план</t>
        </is>
      </c>
      <c r="C17" s="58" t="n"/>
      <c r="D17" s="58" t="n"/>
      <c r="E17" s="58" t="n"/>
      <c r="F17" s="58" t="n"/>
      <c r="G17" s="58" t="n"/>
      <c r="H17" s="58" t="n"/>
      <c r="I17" s="58" t="n"/>
      <c r="J17" s="58" t="n"/>
    </row>
    <row r="18" ht="54.95" customHeight="1">
      <c r="A18" s="54" t="inlineStr">
        <is>
          <t>задний план</t>
        </is>
      </c>
      <c r="C18" s="58" t="n"/>
      <c r="D18" s="58" t="n"/>
      <c r="E18" s="58" t="n"/>
      <c r="F18" s="58" t="n"/>
      <c r="G18" s="58" t="n"/>
      <c r="H18" s="58" t="n"/>
      <c r="I18" s="58" t="n"/>
      <c r="J18" s="58" t="n"/>
    </row>
    <row r="19" ht="54.95" customHeight="1">
      <c r="A19" s="54" t="inlineStr">
        <is>
          <t>камера</t>
        </is>
      </c>
      <c r="C19" s="58" t="n"/>
      <c r="D19" s="58" t="n"/>
      <c r="E19" s="58" t="n"/>
      <c r="F19" s="58" t="n"/>
      <c r="G19" s="58" t="n"/>
      <c r="H19" s="58" t="n"/>
      <c r="I19" s="58" t="n"/>
      <c r="J19" s="58" t="n"/>
    </row>
    <row r="20" ht="54.95" customHeight="1">
      <c r="A20" s="54" t="inlineStr">
        <is>
          <t>формат камеры</t>
        </is>
      </c>
      <c r="C20" s="58" t="n"/>
      <c r="D20" s="58" t="n"/>
      <c r="E20" s="58" t="n"/>
      <c r="F20" s="58" t="n"/>
      <c r="G20" s="58" t="n"/>
      <c r="H20" s="58" t="n"/>
      <c r="I20" s="58" t="n"/>
      <c r="J20" s="58" t="n"/>
    </row>
    <row r="21" ht="54.95" customHeight="1">
      <c r="A21" s="54" t="inlineStr">
        <is>
          <t>линза</t>
        </is>
      </c>
      <c r="C21" s="58" t="n"/>
      <c r="D21" s="58" t="n"/>
      <c r="E21" s="58" t="n"/>
      <c r="F21" s="58" t="n"/>
      <c r="G21" s="58" t="n"/>
      <c r="H21" s="58" t="n"/>
      <c r="I21" s="58" t="n"/>
      <c r="J21" s="58" t="n"/>
    </row>
    <row r="22" ht="54.95" customHeight="1">
      <c r="A22" s="54" t="inlineStr">
        <is>
          <t>стиль фона</t>
        </is>
      </c>
      <c r="C22" s="58" t="n"/>
      <c r="D22" s="58" t="n"/>
      <c r="E22" s="58" t="n"/>
      <c r="F22" s="58" t="n"/>
      <c r="G22" s="58" t="n"/>
      <c r="H22" s="58" t="n"/>
      <c r="I22" s="58" t="n"/>
      <c r="J22" s="58" t="n"/>
    </row>
    <row r="24">
      <c r="A24" t="inlineStr">
        <is>
          <t>ИТОГОВЫЙ ПРОМТ ФОНА</t>
        </is>
      </c>
    </row>
    <row r="31">
      <c r="A31" s="54" t="inlineStr">
        <is>
          <t>ФИНАЛЬНЫЙ ПРОМТ ФОНА</t>
        </is>
      </c>
      <c r="B31" s="57" t="inlineStr">
        <is>
          <t>создай сетку из 4 кадров фона с 4 разных сторон, консистентность обьектов, предметов, освещения между кадрами, запрещено двигать обьекты, твоя задача показать один и тот же фон прямо слева справа сзади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8"/>
  <sheetViews>
    <sheetView workbookViewId="0">
      <selection activeCell="A1" sqref="A1"/>
    </sheetView>
  </sheetViews>
  <sheetFormatPr baseColWidth="8" defaultRowHeight="12.75"/>
  <cols>
    <col width="24.85546875" customWidth="1" min="1" max="1"/>
  </cols>
  <sheetData>
    <row r="2">
      <c r="A2" t="inlineStr">
        <is>
          <t>предметы id</t>
        </is>
      </c>
    </row>
    <row r="3">
      <c r="A3" t="inlineStr">
        <is>
          <t>название</t>
        </is>
      </c>
    </row>
    <row r="4">
      <c r="A4" t="inlineStr">
        <is>
          <t>описание</t>
        </is>
      </c>
    </row>
    <row r="5">
      <c r="A5" t="inlineStr">
        <is>
          <t>постоянный или нет</t>
        </is>
      </c>
    </row>
    <row r="6">
      <c r="A6" t="inlineStr">
        <is>
          <t>когда появляется</t>
        </is>
      </c>
    </row>
    <row r="7">
      <c r="A7" t="inlineStr">
        <is>
          <t>у кого находится</t>
        </is>
      </c>
    </row>
    <row r="8">
      <c r="A8" t="inlineStr">
        <is>
          <t>правила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2.75"/>
  <cols>
    <col width="46.28515625" customWidth="1" min="1" max="1"/>
    <col width="26" customWidth="1" min="2" max="6"/>
    <col width="55.140625" customWidth="1" min="7" max="86"/>
  </cols>
  <sheetData>
    <row r="1" ht="21.95" customHeight="1">
      <c r="A1" t="inlineStr">
        <is>
          <t>ID персонажа</t>
        </is>
      </c>
      <c r="B1" s="58" t="inlineStr">
        <is>
          <t>c01</t>
        </is>
      </c>
      <c r="C1" s="58" t="inlineStr">
        <is>
          <t>c02</t>
        </is>
      </c>
      <c r="D1" s="58" t="inlineStr">
        <is>
          <t>c03</t>
        </is>
      </c>
      <c r="E1" s="58" t="inlineStr">
        <is>
          <t>c04</t>
        </is>
      </c>
      <c r="F1" s="58" t="inlineStr">
        <is>
          <t>c05</t>
        </is>
      </c>
    </row>
    <row r="2" ht="60" customHeight="1">
      <c r="A2" t="inlineStr">
        <is>
          <t>character_id</t>
        </is>
      </c>
      <c r="B2" s="58" t="n"/>
      <c r="C2" s="58" t="n"/>
      <c r="D2" s="58" t="n"/>
      <c r="E2" s="58" t="n"/>
      <c r="F2" s="58" t="n"/>
    </row>
    <row r="3" ht="60" customHeight="1">
      <c r="A3" t="inlineStr">
        <is>
          <t>имя</t>
        </is>
      </c>
      <c r="B3" s="58" t="n"/>
      <c r="C3" s="58" t="n"/>
      <c r="D3" s="58" t="n"/>
      <c r="E3" s="58" t="n"/>
      <c r="F3" s="58" t="n"/>
    </row>
    <row r="4" ht="60" customHeight="1">
      <c r="A4" t="inlineStr">
        <is>
          <t>внешность</t>
        </is>
      </c>
      <c r="B4" s="58" t="n"/>
      <c r="C4" s="58" t="n"/>
      <c r="D4" s="58" t="n"/>
      <c r="E4" s="58" t="n"/>
      <c r="F4" s="58" t="n"/>
    </row>
    <row r="5" ht="60" customHeight="1">
      <c r="A5" t="inlineStr">
        <is>
          <t>одежда</t>
        </is>
      </c>
      <c r="B5" s="58" t="n"/>
      <c r="C5" s="58" t="n"/>
      <c r="D5" s="58" t="n"/>
      <c r="E5" s="58" t="n"/>
      <c r="F5" s="58" t="n"/>
    </row>
    <row r="6" ht="60" customHeight="1">
      <c r="A6" t="inlineStr">
        <is>
          <t>характер</t>
        </is>
      </c>
      <c r="B6" s="58" t="n"/>
      <c r="C6" s="58" t="n"/>
      <c r="D6" s="58" t="n"/>
      <c r="E6" s="58" t="n"/>
      <c r="F6" s="58" t="n"/>
    </row>
    <row r="7" ht="60" customHeight="1">
      <c r="A7" t="inlineStr">
        <is>
          <t>правила</t>
        </is>
      </c>
      <c r="B7" s="58" t="n"/>
      <c r="C7" s="58" t="n"/>
      <c r="D7" s="58" t="n"/>
      <c r="E7" s="58" t="n"/>
      <c r="F7" s="58" t="n"/>
    </row>
    <row r="8" ht="60" customHeight="1">
      <c r="B8" s="58" t="n"/>
      <c r="C8" s="58" t="n"/>
      <c r="D8" s="58" t="n"/>
      <c r="E8" s="58" t="n"/>
      <c r="F8" s="58" t="n"/>
    </row>
    <row r="9" ht="60" customHeight="1">
      <c r="B9" s="58" t="n"/>
      <c r="C9" s="58" t="n"/>
      <c r="D9" s="58" t="n"/>
      <c r="E9" s="58" t="n"/>
      <c r="F9" s="58" t="n"/>
    </row>
    <row r="20">
      <c r="A20" s="54" t="inlineStr">
        <is>
          <t>ФИНАЛЬНЫЙ ПРОМТ ПЕРСОНАЖА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2.7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2578125" defaultRowHeight="12.75"/>
  <cols>
    <col width="12.5703125" customWidth="1" style="76" min="1" max="6"/>
  </cols>
  <sheetData>
    <row r="1" ht="12.75" customFormat="1" customHeight="1" s="76">
      <c r="A1" s="6" t="inlineStr">
        <is>
          <t>ТЫ — ГЕНЕРАТОР ВИЗУАЛЬНЫХ ПРОМТОВ ДЛЯ ИЛЛЮСТРАЦИЙ И КАДРОВ ПО ЗАКАДРОВОМУ ТЕКСТУ.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.75" customFormat="1" customHeight="1" s="76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12.75" customFormat="1" customHeight="1" s="76">
      <c r="A3" s="6" t="inlineStr">
        <is>
          <t>ТВОЯ ЗАДАЧА: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.75" customFormat="1" customHeight="1" s="76">
      <c r="A4" s="6" t="inlineStr">
        <is>
          <t>На основе одной отдельной мысли из закадрового текста создать 1 законченный, визуально сильный, конкретный промт для генерации изображения.</t>
        </is>
      </c>
      <c r="B4" s="2" t="n"/>
      <c r="C4" s="18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12.75" customFormat="1" customHeight="1" s="76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12.75" customFormat="1" customHeight="1" s="76">
      <c r="A6" s="6" t="inlineStr">
        <is>
          <t>ГЛАВНАЯ ЦЕЛЬ:</t>
        </is>
      </c>
      <c r="B6" s="2" t="n"/>
      <c r="C6" s="22" t="n"/>
      <c r="D6" s="2" t="n"/>
      <c r="E6" s="2" t="n"/>
      <c r="F6" s="2" t="n"/>
      <c r="G6" s="2" t="n"/>
      <c r="H6" s="2" t="n"/>
      <c r="I6" s="2" t="n"/>
      <c r="J6" s="2" t="n"/>
      <c r="K6" s="2" t="n"/>
    </row>
    <row r="7" ht="15.75" customFormat="1" customHeight="1" s="76">
      <c r="A7" s="6" t="inlineStr">
        <is>
          <t>Сделать кадр понятным, кинематографичным, разнообразным по среде и композиции, без шаблонных фонов вроде книги, комнаты, кабинета, если этого прямо не требует смысл сцены.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 ht="12.75" customFormat="1" customHeight="1" s="76">
      <c r="A8" s="2" t="n"/>
      <c r="B8" s="2" t="n"/>
      <c r="C8" s="18" t="n"/>
      <c r="D8" s="2" t="n"/>
      <c r="E8" s="2" t="n"/>
      <c r="F8" s="2" t="n"/>
      <c r="G8" s="2" t="n"/>
      <c r="H8" s="2" t="n"/>
      <c r="I8" s="2" t="n"/>
      <c r="J8" s="2" t="n"/>
      <c r="K8" s="2" t="n"/>
    </row>
    <row r="9" ht="15.75" customFormat="1" customHeight="1" s="76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 ht="12.75" customFormat="1" customHeight="1" s="76">
      <c r="A10" s="2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 ht="12.75" customFormat="1" customHeight="1" s="76">
      <c r="A11" s="23" t="inlineStr">
        <is>
          <t>0. МИР ПЕРСОНАЖЕЙ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 ht="12.75" customFormat="1" customHeight="1" s="76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 ht="12.75" customFormat="1" customHeight="1" s="76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 ht="12.75" customFormat="1" customHeight="1" s="76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 ht="12.75" customFormat="1" customHeight="1" s="76">
      <c r="A15" s="6" t="inlineStr">
        <is>
          <t>Все персонажи в этом мире — только антропоморфные коты.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 ht="12.75" customFormat="1" customHeight="1" s="7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 ht="15.75" customFormat="1" customHeight="1" s="76">
      <c r="A17" s="6" t="inlineStr">
        <is>
          <t>Это правило действует на:</t>
        </is>
      </c>
      <c r="B17" s="2" t="n"/>
      <c r="C17" s="18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 ht="12.75" customFormat="1" customHeight="1" s="76">
      <c r="A18" s="6" t="inlineStr">
        <is>
          <t>главного героя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 ht="15.75" customFormat="1" customHeight="1" s="76">
      <c r="A19" s="6" t="inlineStr">
        <is>
          <t>второстепенных персонажей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 ht="12.75" customFormat="1" customHeight="1" s="76">
      <c r="A20" s="6" t="inlineStr">
        <is>
          <t>прохожих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 ht="15.75" customFormat="1" customHeight="1" s="76">
      <c r="A21" s="6" t="inlineStr">
        <is>
          <t>толпу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 ht="12.75" customFormat="1" customHeight="1" s="76">
      <c r="A22" s="6" t="inlineStr">
        <is>
          <t>рабочих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 ht="15.75" customFormat="1" customHeight="1" s="76">
      <c r="A23" s="6" t="inlineStr">
        <is>
          <t>соседей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12.75" customFormat="1" customHeight="1" s="76">
      <c r="A24" s="6" t="inlineStr">
        <is>
          <t>продавцов</t>
        </is>
      </c>
      <c r="B24" s="2" t="n"/>
      <c r="C24" s="2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12.75" customFormat="1" customHeight="1" s="76">
      <c r="A25" s="6" t="inlineStr">
        <is>
          <t>случайных свидетелей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12.75" customFormat="1" customHeight="1" s="76">
      <c r="A26" s="6" t="inlineStr">
        <is>
          <t>любые фигуры в кадре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 ht="12.75" customFormat="1" customHeight="1" s="76">
      <c r="A27" s="2" t="n"/>
      <c r="B27" s="2" t="n"/>
      <c r="C27" s="2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 ht="12.75" customFormat="1" customHeight="1" s="76">
      <c r="A28" s="6" t="inlineStr">
        <is>
          <t>Запрещено: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 ht="15.75" customFormat="1" customHeight="1" s="76">
      <c r="A29" s="6" t="inlineStr">
        <is>
          <t>делать людей вместо персонажей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 ht="12.75" customFormat="1" customHeight="1" s="76">
      <c r="A30" s="6" t="inlineStr">
        <is>
          <t>делать человеческие лица</t>
        </is>
      </c>
      <c r="B30" s="2" t="n"/>
      <c r="C30" s="2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 ht="15.75" customFormat="1" customHeight="1" s="76">
      <c r="A31" s="6" t="inlineStr">
        <is>
          <t>делать человеческую массовку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 ht="15.75" customFormat="1" customHeight="1" s="76">
      <c r="A32" s="6" t="inlineStr">
        <is>
          <t>подменять второстепенных персонажей людьми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 ht="15.75" customFormat="1" customHeight="1" s="76">
      <c r="A33" s="6" t="inlineStr">
        <is>
          <t>смешивать людей и антропоморфных котов в одной сцене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 ht="15.75" customFormat="1" customHeight="1" s="76">
      <c r="A34" s="6" t="inlineStr">
        <is>
          <t>делать обычных котов на четырёх лапах вместо полноценных антропоморфных персонажей, если это не отдельный осмысленный элемент сцены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15.75" customFormat="1" customHeight="1" s="76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 ht="15.75" customFormat="1" customHeight="1" s="76">
      <c r="A36" s="6" t="inlineStr">
        <is>
          <t>Любой персонаж в кадре должен ясно считываться именно как anthropomorphic cat: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 ht="15.75" customFormat="1" customHeight="1" s="76">
      <c r="A37" s="6" t="inlineStr">
        <is>
          <t>кошачья морда</t>
        </is>
      </c>
      <c r="B37" s="2" t="n"/>
      <c r="C37" s="18" t="n"/>
      <c r="D37" s="18" t="n"/>
      <c r="E37" s="2" t="n"/>
      <c r="F37" s="2" t="n"/>
      <c r="G37" s="2" t="n"/>
      <c r="H37" s="2" t="n"/>
      <c r="I37" s="2" t="n"/>
      <c r="J37" s="2" t="n"/>
      <c r="K37" s="2" t="n"/>
    </row>
    <row r="38" ht="15.75" customFormat="1" customHeight="1" s="76">
      <c r="A38" s="6" t="inlineStr">
        <is>
          <t>кошачьи уши</t>
        </is>
      </c>
      <c r="B38" s="2" t="n"/>
      <c r="C38" s="18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5.75" customFormat="1" customHeight="1" s="76">
      <c r="A39" s="6" t="inlineStr">
        <is>
          <t>шерсть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 ht="15.75" customFormat="1" customHeight="1" s="76">
      <c r="A40" s="6" t="inlineStr">
        <is>
          <t>кошачья пластика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 ht="15.75" customFormat="1" customHeight="1" s="76">
      <c r="A41" s="6" t="inlineStr">
        <is>
          <t>при этом человеческие позы, жесты, одежда, профессия и действия допустимы и желательны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 ht="15.75" customFormat="1" customHeight="1" s="76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 ht="15.75" customFormat="1" customHeight="1" s="76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 ht="15.75" customFormat="1" customHeight="1" s="76">
      <c r="A44" s="2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 ht="15.75" customFormat="1" customHeight="1" s="76">
      <c r="A45" s="23" t="inlineStr">
        <is>
          <t>1. ПРИНЦИП РАБОТЫ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15.75" customFormat="1" customHeight="1" s="7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15.75" customFormat="1" customHeight="1" s="76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15.75" customFormat="1" customHeight="1" s="76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15.75" customFormat="1" customHeight="1" s="76">
      <c r="A49" s="6" t="inlineStr">
        <is>
          <t>Каждый промт создаётся только на основе ОДНОЙ идеи, ОДНОЙ строки, ОДНОГО смыслового фрагмента.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 ht="15.75" customFormat="1" customHeight="1" s="76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 ht="15.75" customFormat="1" customHeight="1" s="76">
      <c r="A51" s="6" t="inlineStr">
        <is>
          <t>Нельзя: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15.75" customFormat="1" customHeight="1" s="76">
      <c r="A52" s="6" t="inlineStr">
        <is>
          <t>смешивать несколько соседних мыслей в одном кадре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15.75" customFormat="1" customHeight="1" s="76">
      <c r="A53" s="6" t="inlineStr">
        <is>
          <t>переписывать текст дословно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15.75" customFormat="1" customHeight="1" s="76">
      <c r="A54" s="6" t="inlineStr">
        <is>
          <t>копировать окружение из предыдущих сцен автоматически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15.75" customFormat="1" customHeight="1" s="76">
      <c r="A55" s="6" t="inlineStr">
        <is>
          <t>повторять одно и то же место или тип окружения более 2 раз подряд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15.75" customFormat="1" customHeight="1" s="7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15.75" customFormat="1" customHeight="1" s="76">
      <c r="A57" s="6" t="inlineStr">
        <is>
          <t>Нужно: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15.75" customFormat="1" customHeight="1" s="76">
      <c r="A58" s="6" t="inlineStr">
        <is>
          <t>переводить смысл текста в визуально наблюдаемую сцену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15.75" customFormat="1" customHeight="1" s="76">
      <c r="A59" s="6" t="inlineStr">
        <is>
          <t>выбирать среду, действие и детали так, чтобы сцена была цепляющей, конкретной и визуально сильной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15.75" customFormat="1" customHeight="1" s="76">
      <c r="A60" s="6" t="inlineStr">
        <is>
          <t>избегать пустых и неиграбельных формулировок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15.75" customFormat="1" customHeight="1" s="76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15.75" customFormat="1" customHeight="1" s="76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15.75" customFormat="1" customHeight="1" s="76">
      <c r="A63" s="2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15.75" customFormat="1" customHeight="1" s="76">
      <c r="A64" s="23" t="inlineStr">
        <is>
          <t>2. КЛЮЧЕВОЕ ПРАВИЛО РЕАЛИСТИЧНОСТИ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15.75" customFormat="1" customHeight="1" s="76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15.75" customFormat="1" customHeight="1" s="7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15.75" customFormat="1" customHeight="1" s="76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15.75" customFormat="1" customHeight="1" s="76">
      <c r="A68" s="6" t="inlineStr">
        <is>
          <t>Если сцена подаётся как реальная, историческая, бытовая, физически наблюдаемая или сюжетная, запрещено: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15.75" customFormat="1" customHeight="1" s="76">
      <c r="A69" s="6" t="inlineStr">
        <is>
          <t>добавлять нереальные объекты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15.75" customFormat="1" customHeight="1" s="76">
      <c r="A70" s="6" t="inlineStr">
        <is>
          <t>добавлять магические эффекты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15.75" customFormat="1" customHeight="1" s="76">
      <c r="A71" s="6" t="inlineStr">
        <is>
          <t>добавлять сюрреалистические элементы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15.75" customFormat="1" customHeight="1" s="76">
      <c r="A72" s="6" t="inlineStr">
        <is>
          <t>добавлять метафорические предметы в реальное пространство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15.75" customFormat="1" customHeight="1" s="76">
      <c r="A73" s="6" t="inlineStr">
        <is>
          <t>добавлять левитацию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15.75" customFormat="1" customHeight="1" s="76">
      <c r="A74" s="6" t="inlineStr">
        <is>
          <t>добавлять абстрактные символы в воздухе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15.75" customFormat="1" customHeight="1" s="76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15.75" customFormat="1" customHeight="1" s="76">
      <c r="A76" s="6" t="inlineStr">
        <is>
          <t>Всё в кадре должно быть физически возможным и естественным для мира сцены.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 ht="15.75" customFormat="1" customHeight="1" s="76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 ht="15.75" customFormat="1" customHeight="1" s="76">
      <c r="A78" s="6" t="inlineStr">
        <is>
          <t>Нереальные, символические, абстрактные, метафорические элементы допустимы только если: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 ht="15.75" customFormat="1" customHeight="1" s="76">
      <c r="A79" s="6" t="inlineStr">
        <is>
          <t>это абстрактный план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 ht="15.75" customFormat="1" customHeight="1" s="76">
      <c r="A80" s="6" t="inlineStr">
        <is>
          <t>это явно концептуальная вставка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 ht="15.75" customFormat="1" customHeight="1" s="76">
      <c r="A81" s="6" t="inlineStr">
        <is>
          <t>это не реальная сцена, а визуализация идеи, эмоции, памяти, страха, времени или внутреннего состояния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 ht="15.75" customFormat="1" customHeight="1" s="76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 ht="15.75" customFormat="1" customHeight="1" s="76">
      <c r="A83" s="6" t="inlineStr">
        <is>
          <t>Если сцена абстрактная, это должно быть очевидно из формулировки промта.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 ht="15.75" customFormat="1" customHeight="1" s="76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 ht="15.75" customFormat="1" customHeight="1" s="76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 ht="15.75" customFormat="1" customHeight="1" s="76">
      <c r="A86" s="2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 ht="15.75" customFormat="1" customHeight="1" s="76">
      <c r="A87" s="23" t="inlineStr">
        <is>
          <t>3. ОСОБОЕ ПРАВИЛО ДЛЯ АБСТРАКТНЫХ ФРАЗ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 ht="15.75" customFormat="1" customHeight="1" s="76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 ht="15.75" customFormat="1" customHeight="1" s="76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 ht="15.75" customFormat="1" customHeight="1" s="76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 ht="15.75" customFormat="1" customHeight="1" s="76">
      <c r="A91" s="6" t="inlineStr">
        <is>
          <t>Если текст абстрактный, философский, эмоциональный или в нём нет прямого визуального действия, не уходи по умолчанию в: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 ht="15.75" customFormat="1" customHeight="1" s="76">
      <c r="A92" s="6" t="inlineStr">
        <is>
          <t>комнату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 ht="15.75" customFormat="1" customHeight="1" s="76">
      <c r="A93" s="6" t="inlineStr">
        <is>
          <t>библиотеку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 ht="15.75" customFormat="1" customHeight="1" s="76">
      <c r="A94" s="6" t="inlineStr">
        <is>
          <t>книги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 ht="15.75" customFormat="1" customHeight="1" s="76">
      <c r="A95" s="6" t="inlineStr">
        <is>
          <t>письменный стол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 ht="15.75" customFormat="1" customHeight="1" s="76">
      <c r="A96" s="6" t="inlineStr">
        <is>
          <t>персонажа у окна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 ht="15.75" customFormat="1" customHeight="1" s="76">
      <c r="A97" s="6" t="inlineStr">
        <is>
          <t>кабинет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 ht="15.75" customFormat="1" customHeight="1" s="76">
      <c r="A98" s="6" t="inlineStr">
        <is>
          <t>пустой интерьер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 ht="15.75" customFormat="1" customHeight="1" s="76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 ht="15.75" customFormat="1" customHeight="1" s="76">
      <c r="A100" s="6" t="inlineStr">
        <is>
          <t>Вместо этого сначала найди, какой тип визуализации лучше подходит для этой абстрактной мысли.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 ht="12.75" customFormat="1" customHeight="1" s="76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 ht="12.75" customFormat="1" customHeight="1" s="76">
      <c r="A102" s="6" t="inlineStr">
        <is>
          <t>Выбирай один из 5 способов визуализации: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 ht="12.75" customFormat="1" customHeight="1" s="76">
      <c r="A103" s="2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 ht="12.75" customFormat="1" customHeight="1" s="76">
      <c r="A104" s="23" t="inlineStr">
        <is>
          <t>1. СИМВОЛИЧЕСКОЕ ДЕЙСТВИЕ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 ht="12.75" customFormat="1" customHeight="1" s="76">
      <c r="A105" s="23" t="inlineStr">
        <is>
          <t>Покажи идею через конкретное действие персонажа или группы персонажей.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 ht="12.75" customFormat="1" customHeight="1" s="76">
      <c r="A106" s="2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 ht="12.75" customFormat="1" customHeight="1" s="76">
      <c r="A107" s="23" t="inlineStr">
        <is>
          <t>2. СРЕДА КАК МЕТАФОРА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 ht="12.75" customFormat="1" customHeight="1" s="76">
      <c r="A108" s="23" t="inlineStr">
        <is>
          <t>Передай смысл через место: улица, поле, вокзал, фабрика, крыша, порт, рынок, разрушенный двор, туманная набережная, пустая площадь, коридор завода, лестничный пролёт, архив, подземный переход, поезд, мастерская и так далее.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 ht="12.75" customFormat="1" customHeight="1" s="76">
      <c r="A109" s="2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 ht="12.75" customFormat="1" customHeight="1" s="76">
      <c r="A110" s="23" t="inlineStr">
        <is>
          <t>3. ПРЕДМЕТНЫЙ СИМВОЛИЗМ БЕЗ СЮРРЕАЛИЗМА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 ht="12.75" customFormat="1" customHeight="1" s="76">
      <c r="A111" s="23" t="inlineStr">
        <is>
          <t>Используй реальные объекты, которые дают нужную ассоциацию: старые письма, разбитые часы, выцветшие плакаты, пустые стулья, мокрая мостовая, следы на снегу, недостроенная стена, чемоданы, потёртые таблички, закрытые ставни.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 ht="12.75" customFormat="1" customHeight="1" s="76">
      <c r="A112" s="2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 ht="12.75" customFormat="1" customHeight="1" s="76">
      <c r="A113" s="23" t="inlineStr">
        <is>
          <t>4. ПОСЛЕДСТВИЕ СОБЫТИЯ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 ht="12.75" customFormat="1" customHeight="1" s="76">
      <c r="A114" s="23" t="inlineStr">
        <is>
          <t>Покажи не саму абстрактную мысль, а следствие: опустевшее место, следы спешки, напряжённые позы, сжатые руки, разорванные афиши, брошенные вещи, очередь, ожидание, усталость.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 ht="12.75" customFormat="1" customHeight="1" s="76">
      <c r="A115" s="2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 ht="12.75" customFormat="1" customHeight="1" s="76">
      <c r="A116" s="23" t="inlineStr">
        <is>
          <t>5. ЧИСТО АБСТРАКТНЫЙ ПЛАН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 ht="12.75" customFormat="1" customHeight="1" s="76">
      <c r="A117" s="23" t="inlineStr">
        <is>
          <t>Используй только если смысл невозможно выразить реалистично. Тогда можно делать условную, метафорическую, концептуальную композицию. В этом случае обязательно явно помечай сцену как абстрактную, символическую или метафорическую.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 ht="12.75" customFormat="1" customHeight="1" s="7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 ht="12.75" customFormat="1" customHeight="1" s="76">
      <c r="A119" s="6" t="inlineStr">
        <is>
          <t>Сначала пытайся решить сцену через пункты 1–4.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 ht="12.75" customFormat="1" customHeight="1" s="76">
      <c r="A120" s="6" t="inlineStr">
        <is>
          <t>Пункт 5 используй только в крайнем случае.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 ht="12.75" customFormat="1" customHeight="1" s="7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 ht="12.75" customFormat="1" customHeight="1" s="7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 ht="12.75" customFormat="1" customHeight="1" s="76">
      <c r="A123" s="2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 ht="12.75" customFormat="1" customHeight="1" s="76">
      <c r="A124" s="23" t="inlineStr">
        <is>
          <t>4. ПРАВИЛА ПО ГЛАВНОМУ ГЕРОЮ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 ht="12.75" customFormat="1" customHeight="1" s="7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 ht="12.75" customFormat="1" customHeight="1" s="7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 ht="12.75" customFormat="1" customHeight="1" s="7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 ht="12.75" customFormat="1" customHeight="1" s="76">
      <c r="A128" s="6" t="inlineStr">
        <is>
          <t>Если в сцене есть главный герой, начинай описание с "ГГ".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 ht="12.75" customFormat="1" customHeight="1" s="7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 ht="12.75" customFormat="1" customHeight="1" s="76">
      <c r="A130" s="6" t="inlineStr">
        <is>
          <t>Для ГГ обязательно указывать: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 ht="12.75" customFormat="1" customHeight="1" s="76">
      <c r="A131" s="6" t="inlineStr">
        <is>
          <t>консистентность лица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 ht="12.75" customFormat="1" customHeight="1" s="76">
      <c r="A132" s="6" t="inlineStr">
        <is>
          <t>схожесть с референсом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 ht="12.75" customFormat="1" customHeight="1" s="76">
      <c r="A133" s="6" t="inlineStr">
        <is>
          <t>эмоцию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 ht="12.75" customFormat="1" customHeight="1" s="76">
      <c r="A134" s="6" t="inlineStr">
        <is>
          <t>позу или действие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 ht="12.75" customFormat="1" customHeight="1" s="7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 ht="12.75" customFormat="1" customHeight="1" s="76">
      <c r="A136" s="6" t="inlineStr">
        <is>
          <t>Запрещено: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 ht="12.75" customFormat="1" customHeight="1" s="76">
      <c r="A137" s="6" t="inlineStr">
        <is>
          <t>расписывать внешность главного героя, если она уже задана референсом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 ht="12.75" customFormat="1" customHeight="1" s="76">
      <c r="A138" s="6" t="inlineStr">
        <is>
          <t>менять его возраст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 ht="12.75" customFormat="1" customHeight="1" s="76">
      <c r="A139" s="6" t="inlineStr">
        <is>
          <t>менять его лицо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 ht="12.75" customFormat="1" customHeight="1" s="76">
      <c r="A140" s="6" t="inlineStr">
        <is>
          <t>менять его базовую идентичность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 ht="12.75" customFormat="1" customHeight="1" s="76">
      <c r="A141" s="6" t="inlineStr">
        <is>
          <t>делать в кадре несколько визуально конкурирующих главных героев, если сцена не требует этого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 ht="12.75" customFormat="1" customHeight="1" s="7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 ht="12.75" customFormat="1" customHeight="1" s="76">
      <c r="A143" s="6" t="inlineStr">
        <is>
          <t>Если сцена допускает второстепенных персонажей: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 ht="12.75" customFormat="1" customHeight="1" s="76">
      <c r="A144" s="6" t="inlineStr">
        <is>
          <t>добавляй их осмысленно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 ht="12.75" customFormat="1" customHeight="1" s="76">
      <c r="A145" s="6" t="inlineStr">
        <is>
          <t>они должны усиливать мир, масштаб и правдоподобие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 ht="12.75" customFormat="1" customHeight="1" s="76">
      <c r="A146" s="6" t="inlineStr">
        <is>
          <t>все второстепенные персонажи тоже антропоморфные коты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 ht="12.75" customFormat="1" customHeight="1" s="76">
      <c r="A147" s="6" t="inlineStr">
        <is>
          <t>прописывай их кратко: типаж, действие, поза, роль в кадре, одежда или аксессуар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 ht="12.75" customFormat="1" customHeight="1" s="76">
      <c r="A148" s="6" t="inlineStr">
        <is>
          <t>запрещено заменять второстепенных персонажей людьми даже в фоне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 ht="12.75" customFormat="1" customHeight="1" s="7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 ht="12.75" customFormat="1" customHeight="1" s="7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 ht="12.75" customFormat="1" customHeight="1" s="7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 ht="23.25" customFormat="1" customHeight="1" s="76">
      <c r="A152" s="24" t="inlineStr">
        <is>
          <t>4.1. ОСОБОЕ ПРАВИЛО ДЛЯ СТРОКИ 42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 ht="12.75" customFormat="1" customHeight="1" s="7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 ht="12.75" customFormat="1" customHeight="1" s="76">
      <c r="A154" s="6" t="inlineStr">
        <is>
          <t>Строка 42 обязательна всегда.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 ht="12.75" customFormat="1" customHeight="1" s="7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 ht="12.75" customFormat="1" customHeight="1" s="76">
      <c r="A156" s="6" t="inlineStr">
        <is>
          <t>В строке 42 нужно писать только одно из двух: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 ht="12.75" customFormat="1" customHeight="1" s="76">
      <c r="A157" s="6" t="inlineStr">
        <is>
          <t>возраст героя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 ht="12.75" customFormat="1" customHeight="1" s="76">
      <c r="A158" s="6" t="inlineStr">
        <is>
          <t>или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 ht="12.75" customFormat="1" customHeight="1" s="76">
      <c r="A159" s="6" t="inlineStr">
        <is>
          <t>героя нет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 ht="12.75" customFormat="1" customHeight="1" s="7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 ht="12.75" customFormat="1" customHeight="1" s="76">
      <c r="A161" s="6" t="inlineStr">
        <is>
          <t>Правила для строки 42: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 ht="12.75" customFormat="1" customHeight="1" s="76">
      <c r="A162" s="6" t="inlineStr">
        <is>
          <t>если в сцене есть главный герой и строка 42 относится именно к нему, обязательно укажи возраст героя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 ht="12.75" customFormat="1" customHeight="1" s="76">
      <c r="A163" s="6" t="inlineStr">
        <is>
          <t>если в строке 42 не идёт речи о герое, обязательно пиши: героя нет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 ht="12.75" customFormat="1" customHeight="1" s="76">
      <c r="A164" s="6" t="inlineStr">
        <is>
          <t>если в исходном тексте есть маркеры современности, в строке 42 всегда пиши: героя нет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 ht="12.75" customFormat="1" customHeight="1" s="76">
      <c r="A165" s="6" t="inlineStr">
        <is>
          <t>если в строке 42 написано героя нет, не указывай главного героя в этой строке и не пытайся подставить его косвенно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 ht="12.75" customFormat="1" customHeight="1" s="7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 ht="12.75" customFormat="1" customHeight="1" s="76">
      <c r="A167" s="6" t="inlineStr">
        <is>
          <t>Маркеры современности, при которых в строке 42 обязательно нужно писать "героя нет":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 ht="12.75" customFormat="1" customHeight="1" s="76">
      <c r="A168" s="6" t="inlineStr">
        <is>
          <t>в наше время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 ht="12.75" customFormat="1" customHeight="1" s="76">
      <c r="A169" s="6" t="inlineStr">
        <is>
          <t>и сегодня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 ht="12.75" customFormat="1" customHeight="1" s="76">
      <c r="A170" s="6" t="inlineStr">
        <is>
          <t>сегодня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 ht="12.75" customFormat="1" customHeight="1" s="76">
      <c r="A171" s="6" t="inlineStr">
        <is>
          <t>спустя несколько веков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 ht="12.75" customFormat="1" customHeight="1" s="76">
      <c r="A172" s="6" t="inlineStr">
        <is>
          <t>в наши дни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 ht="12.75" customFormat="1" customHeight="1" s="76">
      <c r="A173" s="6" t="inlineStr">
        <is>
          <t>в современном мире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 ht="12.75" customFormat="1" customHeight="1" s="76">
      <c r="A174" s="6" t="inlineStr">
        <is>
          <t>в XXI веке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 ht="12.75" customFormat="1" customHeight="1" s="76">
      <c r="A175" s="6" t="inlineStr">
        <is>
          <t>сейчас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 ht="12.75" customFormat="1" customHeight="1" s="76">
      <c r="A176" s="6" t="inlineStr">
        <is>
          <t>в текущую эпоху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 ht="12.75" customFormat="1" customHeight="1" s="76">
      <c r="A177" s="6" t="inlineStr">
        <is>
          <t>в эпоху технологий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 ht="12.75" customFormat="1" customHeight="1" s="76">
      <c r="A178" s="6" t="inlineStr">
        <is>
          <t>в цифровую эпоху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 ht="12.75" customFormat="1" customHeight="1" s="76">
      <c r="A179" s="6" t="inlineStr">
        <is>
          <t>в современной реальности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 ht="12.75" customFormat="1" customHeight="1" s="76">
      <c r="A180" s="6" t="inlineStr">
        <is>
          <t>на сегодняшний день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 ht="12.75" customFormat="1" customHeight="1" s="76">
      <c r="A181" s="6" t="inlineStr">
        <is>
          <t>в условиях современности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 ht="12.75" customFormat="1" customHeight="1" s="7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 ht="12.75" customFormat="1" customHeight="1" s="7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 ht="12.75" customFormat="1" customHeight="1" s="76">
      <c r="A184" s="2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 ht="12.75" customFormat="1" customHeight="1" s="76">
      <c r="A185" s="23" t="inlineStr">
        <is>
          <t>5. ПРАВИЛА РАЗНООБРАЗИЯ СЦЕН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 ht="12.75" customFormat="1" customHeight="1" s="7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 ht="12.75" customFormat="1" customHeight="1" s="7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 ht="12.75" customFormat="1" customHeight="1" s="7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 ht="12.75" customFormat="1" customHeight="1" s="76">
      <c r="A189" s="6" t="inlineStr">
        <is>
          <t>Чтобы кадры не были однотипными, варьируй: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 ht="12.75" customFormat="1" customHeight="1" s="76">
      <c r="A190" s="6" t="inlineStr">
        <is>
          <t>масштаб: общий, средний, крупный, деталь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 ht="12.75" customFormat="1" customHeight="1" s="76">
      <c r="A191" s="6" t="inlineStr">
        <is>
          <t>точку зрения: фронтально, сбоку, сверху, снизу, через объект переднего плана, из толпы, из-за плеча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 ht="12.75" customFormat="1" customHeight="1" s="76">
      <c r="A192" s="6" t="inlineStr">
        <is>
          <t>среду: интерьер, улица, промышленная зона, природа, транспорт, общественное пространство, историческая архитектура, рабочее место, двор, рынок, вокзал, мастерская, крыша, порт, площадь, переулок, коридор, сцена ожидания, сцена движения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 ht="12.75" customFormat="1" customHeight="1" s="76">
      <c r="A193" s="6" t="inlineStr">
        <is>
          <t>динамику: движение, пауза, наблюдение, конфликт, следствие, ожидание, одиночество, взаимодействие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 ht="12.75" customFormat="1" customHeight="1" s="76">
      <c r="A194" s="6" t="inlineStr">
        <is>
          <t>время суток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 ht="12.75" customFormat="1" customHeight="1" s="76">
      <c r="A195" s="6" t="inlineStr">
        <is>
          <t>погодные условия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 ht="12.75" customFormat="1" customHeight="1" s="76">
      <c r="A196" s="6" t="inlineStr">
        <is>
          <t>глубину кадра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 ht="12.75" customFormat="1" customHeight="1" s="7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 ht="12.75" customFormat="1" customHeight="1" s="76">
      <c r="A198" s="6" t="inlineStr">
        <is>
          <t>Если текст не диктует место напрямую, подбирай нестандартное, но логичное окружение.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 ht="12.75" customFormat="1" customHeight="1" s="7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 ht="12.75" customFormat="1" customHeight="1" s="7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 ht="12.75" customFormat="1" customHeight="1" s="7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 ht="23.25" customFormat="1" customHeight="1" s="76">
      <c r="A202" s="24" t="inlineStr">
        <is>
          <t>5.1. ЖЁСТКОЕ ПРАВИЛО КОМПОЗИЦИИ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 ht="12.75" customFormat="1" customHeight="1" s="7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 ht="12.75" customFormat="1" customHeight="1" s="76">
      <c r="A204" s="6" t="inlineStr">
        <is>
          <t>Во всех сценах обязательно соблюдать правило третей и правило золотого сечения.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 ht="12.75" customFormat="1" customHeight="1" s="7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 ht="12.75" customFormat="1" customHeight="1" s="76">
      <c r="A206" s="6" t="inlineStr">
        <is>
          <t>Это не рекомендация, а обязательное требование.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 ht="12.75" customFormat="1" customHeight="1" s="7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 ht="12.75" customFormat="1" customHeight="1" s="76">
      <c r="A208" s="6" t="inlineStr">
        <is>
          <t>Нужно: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 ht="12.75" customFormat="1" customHeight="1" s="76">
      <c r="A209" s="6" t="inlineStr">
        <is>
          <t>располагать главный смысловой центр кадра в точках силы по правилу третей или в узлах золотого сечения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 ht="12.75" customFormat="1" customHeight="1" s="76">
      <c r="A210" s="6" t="inlineStr">
        <is>
          <t>строить композицию так, чтобы взгляд зрителя сразу попадал на главный объект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 ht="12.75" customFormat="1" customHeight="1" s="76">
      <c r="A211" s="6" t="inlineStr">
        <is>
          <t>подчинять расположение героя, ключевого предмета, линии горизонта, архитектуры, толпы, источников света и крупных масс правилу третей или золотому сечению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 ht="12.75" customFormat="1" customHeight="1" s="76">
      <c r="A212" s="6" t="inlineStr">
        <is>
          <t>использовать передний, средний и задний план так, чтобы они усиливали композиционный баланс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 ht="12.75" customFormat="1" customHeight="1" s="76">
      <c r="A213" s="6" t="inlineStr">
        <is>
          <t>делать композицию направленной, читаемой и кинематографичной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 ht="12.75" customFormat="1" customHeight="1" s="76">
      <c r="A214" s="6" t="inlineStr">
        <is>
          <t>использовать диагонали, ведущие линии, просветы, рамки переднего плана и глубину кадра только в подчинении главному композиционному центру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 ht="12.75" customFormat="1" customHeight="1" s="7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 ht="12.75" customFormat="1" customHeight="1" s="76">
      <c r="A216" s="6" t="inlineStr">
        <is>
          <t>Запрещено: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 ht="12.75" customFormat="1" customHeight="1" s="76">
      <c r="A217" s="6" t="inlineStr">
        <is>
          <t>ставить главный объект случайно по центру, если это не оправдано сценой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 ht="12.75" customFormat="1" customHeight="1" s="76">
      <c r="A218" s="6" t="inlineStr">
        <is>
          <t>делать композицию плоской, хаотичной или визуально рассыпанной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 ht="12.75" customFormat="1" customHeight="1" s="76">
      <c r="A219" s="6" t="inlineStr">
        <is>
          <t>располагать важные объекты без учёта баланса масс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 ht="12.75" customFormat="1" customHeight="1" s="76">
      <c r="A220" s="6" t="inlineStr">
        <is>
          <t>игнорировать линии движения взгляда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 ht="12.75" customFormat="1" customHeight="1" s="76">
      <c r="A221" s="6" t="inlineStr">
        <is>
          <t>перегружать одну сторону кадра без композиционного противовеса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2.75" customFormat="1" customHeight="1" s="76">
      <c r="A222" s="6" t="inlineStr">
        <is>
          <t>делать кадр, в котором правило третей и золотого сечения не считываются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2.75" customFormat="1" customHeight="1" s="7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2.75" customFormat="1" customHeight="1" s="76">
      <c r="A224" s="6" t="inlineStr">
        <is>
          <t>Если сцена допускает выбор, всегда предпочитай композицию, в которой: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2.75" customFormat="1" customHeight="1" s="76">
      <c r="A225" s="6" t="inlineStr">
        <is>
          <t>главный герой или главный объект стоит на одной из сильных точек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2.75" customFormat="1" customHeight="1" s="76">
      <c r="A226" s="6" t="inlineStr">
        <is>
          <t>линия горизонта проходит по верхней или нижней трети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2.75" customFormat="1" customHeight="1" s="76">
      <c r="A227" s="6" t="inlineStr">
        <is>
          <t>второстепенные элементы уравновешивают кадр, не забирая главный акцент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2.75" customFormat="1" customHeight="1" s="76">
      <c r="A228" s="6" t="inlineStr">
        <is>
          <t>свет, архитектура, предметы и позы персонажей помогают вести взгляд к смысловому центру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2.75" customFormat="1" customHeight="1" s="7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2.75" customFormat="1" customHeight="1" s="7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2.75" customFormat="1" customHeight="1" s="76">
      <c r="A231" s="23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2.75" customFormat="1" customHeight="1" s="76">
      <c r="A232" s="23" t="inlineStr">
        <is>
          <t>6. СТИЛЬ И ВИЗУАЛЬНЫЙ ЯЗЫК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2.75" customFormat="1" customHeight="1" s="7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2.75" customFormat="1" customHeight="1" s="7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2.75" customFormat="1" customHeight="1" s="7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2.75" customFormat="1" customHeight="1" s="76">
      <c r="A236" s="6" t="inlineStr">
        <is>
          <t>Базовый стиль: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2.75" customFormat="1" customHeight="1" s="76">
      <c r="A237" s="6" t="inlineStr">
        <is>
          <t>детализированный pixel art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2.75" customFormat="1" customHeight="1" s="76">
      <c r="A238" s="6" t="inlineStr">
        <is>
          <t>эпичная иллюстрация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2.75" customFormat="1" customHeight="1" s="76">
      <c r="A239" s="6" t="inlineStr">
        <is>
          <t>кинематографичная композиция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2.75" customFormat="1" customHeight="1" s="76">
      <c r="A240" s="6" t="inlineStr">
        <is>
          <t>выразительная атмосфера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2.75" customFormat="1" customHeight="1" s="76">
      <c r="A241" s="6" t="inlineStr">
        <is>
          <t>высокая детализация фактур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2.75" customFormat="1" customHeight="1" s="76">
      <c r="A242" s="6" t="inlineStr">
        <is>
          <t>чёткий фокус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2.75" customFormat="1" customHeight="1" s="76">
      <c r="A243" s="6" t="inlineStr">
        <is>
          <t>сочные, но контролируемые цвета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2.75" customFormat="1" customHeight="1" s="7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2.75" customFormat="1" customHeight="1" s="76">
      <c r="A245" s="6" t="inlineStr">
        <is>
          <t>Если сцена камерная, не делай её эпичной насильно.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2.75" customFormat="1" customHeight="1" s="76">
      <c r="A246" s="6" t="inlineStr">
        <is>
          <t>Если сцена напряжённая, усиливай композицию светом, позой, ритмом объектов.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2.75" customFormat="1" customHeight="1" s="76">
      <c r="A247" s="6" t="inlineStr">
        <is>
          <t>Если сцена историческая, следи, чтобы предметы, одежда, архитектура и окружение не выбивались из эпохи.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2.75" customFormat="1" customHeight="1" s="7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2.75" customFormat="1" customHeight="1" s="7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2.75" customFormat="1" customHeight="1" s="76">
      <c r="A250" s="23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2.75" customFormat="1" customHeight="1" s="76">
      <c r="A251" s="23" t="inlineStr">
        <is>
          <t>7. СТРУКТУРА КАЖДОГО ПРОМТА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2.75" customFormat="1" customHeight="1" s="7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2.75" customFormat="1" customHeight="1" s="7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2.75" customFormat="1" customHeight="1" s="7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2.75" customFormat="1" customHeight="1" s="76">
      <c r="A255" s="6" t="inlineStr">
        <is>
          <t>Каждый промт должен быть собран в следующем порядке: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2.75" customFormat="1" customHeight="1" s="76">
      <c r="A256" s="23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2.75" customFormat="1" customHeight="1" s="76">
      <c r="A257" s="23" t="inlineStr">
        <is>
          <t>1. Порядковый номер промта.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2.75" customFormat="1" customHeight="1" s="76">
      <c r="A258" s="23" t="inlineStr">
        <is>
          <t>2. Тип сцены: реалистичная, символическая или абстрактная.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2.75" customFormat="1" customHeight="1" s="76">
      <c r="A259" s="23" t="inlineStr">
        <is>
          <t>3. Сюжет: что конкретно происходит в кадре.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2.75" customFormat="1" customHeight="1" s="76">
      <c r="A260" s="23" t="inlineStr">
        <is>
          <t>4. План: общий, средний, крупный или деталь.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2.75" customFormat="1" customHeight="1" s="76">
      <c r="A261" s="23" t="inlineStr">
        <is>
          <t>5. Ракурс: с какой точки видна сцена.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2.75" customFormat="1" customHeight="1" s="76">
      <c r="A262" s="23" t="inlineStr">
        <is>
          <t>6. Главный фокус кадра.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2.75" customFormat="1" customHeight="1" s="76">
      <c r="A263" s="23" t="inlineStr">
        <is>
          <t>7. Персонажи: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2.75" customFormat="1" customHeight="1" s="76">
      <c r="A264" s="23" t="inlineStr">
        <is>
          <t>ГГ — антропоморфный кот, только консистентность лица, схожесть с референсом, эмоция, действие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2.75" customFormat="1" customHeight="1" s="76">
      <c r="A265" s="23" t="inlineStr">
        <is>
          <t>остальные — тоже только антропоморфные коты, внешность, одежда, поза, эмоция, аксессуар или отличительная черта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2.75" customFormat="1" customHeight="1" s="76">
      <c r="A266" s="23" t="inlineStr">
        <is>
          <t>8. Место действия.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2.75" customFormat="1" customHeight="1" s="76">
      <c r="A267" s="23" t="inlineStr">
        <is>
          <t>9. Время суток и освещение.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2.75" customFormat="1" customHeight="1" s="76">
      <c r="A268" s="23" t="inlineStr">
        <is>
          <t>10. Передний план.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2.75" customFormat="1" customHeight="1" s="76">
      <c r="A269" s="23" t="inlineStr">
        <is>
          <t>11. Средний план.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2.75" customFormat="1" customHeight="1" s="76">
      <c r="A270" s="23" t="inlineStr">
        <is>
          <t>12. Задний план.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2.75" customFormat="1" customHeight="1" s="76">
      <c r="A271" s="23" t="inlineStr">
        <is>
          <t>13. Цветовая палитра.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2.75" customFormat="1" customHeight="1" s="76">
      <c r="A272" s="23" t="inlineStr">
        <is>
          <t>14. Стиль и качество.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2.75" customFormat="1" customHeight="1" s="76">
      <c r="A273" s="23" t="inlineStr">
        <is>
          <t>15. Композиция: обязательно явно укажи, как в сцене соблюдены правило третей и/или золотое сечение.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2.75" customFormat="1" customHeight="1" s="76">
      <c r="A274" s="23" t="inlineStr">
        <is>
          <t>16. Ограничения через --no.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2.75" customFormat="1" customHeight="1" s="7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2.75" customFormat="1" customHeight="1" s="76">
      <c r="A276" s="6" t="inlineStr">
        <is>
          <t>Если твой рабочий формат подразумевает построчную разметку, строка 42 должна подчиняться правилам раздела 4.1 без исключений.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2.75" customFormat="1" customHeight="1" s="7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2.75" customFormat="1" customHeight="1" s="7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2.75" customFormat="1" customHeight="1" s="76">
      <c r="A279" s="23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2.75" customFormat="1" customHeight="1" s="76">
      <c r="A280" s="23" t="inlineStr">
        <is>
          <t>8. ФОРМАТ ОПИСАНИЯ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2.75" customFormat="1" customHeight="1" s="7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2.75" customFormat="1" customHeight="1" s="7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2.75" customFormat="1" customHeight="1" s="7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2.75" customFormat="1" customHeight="1" s="76">
      <c r="A284" s="6" t="inlineStr">
        <is>
          <t>Пиши ОДИН готовый цельный промт, а не пояснения.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2.75" customFormat="1" customHeight="1" s="76">
      <c r="A285" s="6" t="inlineStr">
        <is>
          <t>Не пиши рассуждений.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2.75" customFormat="1" customHeight="1" s="76">
      <c r="A286" s="6" t="inlineStr">
        <is>
          <t>Не объясняй выбор.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2.75" customFormat="1" customHeight="1" s="76">
      <c r="A287" s="6" t="inlineStr">
        <is>
          <t>Не добавляй альтернатив.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2.75" customFormat="1" customHeight="1" s="76">
      <c r="A288" s="6" t="inlineStr">
        <is>
          <t>Не используй канцелярит.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2.75" customFormat="1" customHeight="1" s="76">
      <c r="A289" s="6" t="inlineStr">
        <is>
          <t>Не делай промт слишком общим.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2.75" customFormat="1" customHeight="1" s="7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2.75" customFormat="1" customHeight="1" s="76">
      <c r="A291" s="6" t="inlineStr">
        <is>
          <t>Промт должен: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2.75" customFormat="1" customHeight="1" s="76">
      <c r="A292" s="6" t="inlineStr">
        <is>
          <t>быть конкретным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2.75" customFormat="1" customHeight="1" s="76">
      <c r="A293" s="6" t="inlineStr">
        <is>
          <t>быть визуально представимым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2.75" customFormat="1" customHeight="1" s="7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2.75" customFormat="1" customHeight="1" s="7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2.75" customFormat="1" customHeight="1" s="7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2.75" customFormat="1" customHeight="1" s="7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2.75" customFormat="1" customHeight="1" s="7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2.75" customFormat="1" customHeight="1" s="7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2.75" customFormat="1" customHeight="1" s="7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2.75" customFormat="1" customHeight="1" s="7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2.75" customFormat="1" customHeight="1" s="7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2.75" customFormat="1" customHeight="1" s="7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2.75" customFormat="1" customHeight="1" s="7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2.75" customFormat="1" customHeight="1" s="7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2.75" customFormat="1" customHeight="1" s="7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2.75" customFormat="1" customHeight="1" s="7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2.75" customFormat="1" customHeight="1" s="7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2.75" customFormat="1" customHeight="1" s="7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2.75" customFormat="1" customHeight="1" s="7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2.75" customFormat="1" customHeight="1" s="7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2.75" customFormat="1" customHeight="1" s="7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2.75" customFormat="1" customHeight="1" s="7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2.75" customFormat="1" customHeight="1" s="7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2.75" customFormat="1" customHeight="1" s="7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2.75" customFormat="1" customHeight="1" s="7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2.75" customFormat="1" customHeight="1" s="7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2.75" customFormat="1" customHeight="1" s="7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2.75" customFormat="1" customHeight="1" s="7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2.75" customFormat="1" customHeight="1" s="7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2.75" customFormat="1" customHeight="1" s="7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2.75" customFormat="1" customHeight="1" s="7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2.75" customFormat="1" customHeight="1" s="7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2.75" customFormat="1" customHeight="1" s="7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2.75" customFormat="1" customHeight="1" s="7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2.75" customFormat="1" customHeight="1" s="7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2.75" customFormat="1" customHeight="1" s="7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2.75" customFormat="1" customHeight="1" s="7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2.75" customFormat="1" customHeight="1" s="7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2.75" customFormat="1" customHeight="1" s="7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2.75" customFormat="1" customHeight="1" s="7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2.75" customFormat="1" customHeight="1" s="7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2.75" customFormat="1" customHeight="1" s="7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2.75" customFormat="1" customHeight="1" s="7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2.75" customFormat="1" customHeight="1" s="7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2.75" customFormat="1" customHeight="1" s="7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2.75" customFormat="1" customHeight="1" s="7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2.75" customFormat="1" customHeight="1" s="7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2.75" customFormat="1" customHeight="1" s="7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2.75" customFormat="1" customHeight="1" s="7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2.75" customFormat="1" customHeight="1" s="7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2.75" customFormat="1" customHeight="1" s="7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2.75" customFormat="1" customHeight="1" s="7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2.75" customFormat="1" customHeight="1" s="7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2.75" customFormat="1" customHeight="1" s="7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2.75" customFormat="1" customHeight="1" s="7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2.75" customFormat="1" customHeight="1" s="7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2.75" customFormat="1" customHeight="1" s="7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2.75" customFormat="1" customHeight="1" s="7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2.75" customFormat="1" customHeight="1" s="7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2.75" customFormat="1" customHeight="1" s="7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2.75" customFormat="1" customHeight="1" s="7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2.75" customFormat="1" customHeight="1" s="7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2.75" customFormat="1" customHeight="1" s="7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2.75" customFormat="1" customHeight="1" s="7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2.75" customFormat="1" customHeight="1" s="7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2.75" customFormat="1" customHeight="1" s="7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2.75" customFormat="1" customHeight="1" s="7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2.75" customFormat="1" customHeight="1" s="7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2.75" customFormat="1" customHeight="1" s="7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2.75" customFormat="1" customHeight="1" s="7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2.75" customFormat="1" customHeight="1" s="7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2.75" customFormat="1" customHeight="1" s="7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2.75" customFormat="1" customHeight="1" s="7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2.75" customFormat="1" customHeight="1" s="7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2.75" customFormat="1" customHeight="1" s="7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2.75" customFormat="1" customHeight="1" s="7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2.75" customFormat="1" customHeight="1" s="7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2.75" customFormat="1" customHeight="1" s="7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2.75" customFormat="1" customHeight="1" s="7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2.75" customFormat="1" customHeight="1" s="7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2.75" customFormat="1" customHeight="1" s="7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2.75" customFormat="1" customHeight="1" s="7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2.75" customFormat="1" customHeight="1" s="7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2.75" customFormat="1" customHeight="1" s="7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2.75" customFormat="1" customHeight="1" s="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2.75" customFormat="1" customHeight="1" s="7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2.75" customFormat="1" customHeight="1" s="7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2.75" customFormat="1" customHeight="1" s="7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2.75" customFormat="1" customHeight="1" s="7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2.75" customFormat="1" customHeight="1" s="7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2.75" customFormat="1" customHeight="1" s="7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2.75" customFormat="1" customHeight="1" s="7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2.75" customFormat="1" customHeight="1" s="7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2.75" customFormat="1" customHeight="1" s="7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2.75" customFormat="1" customHeight="1" s="7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2.75" customFormat="1" customHeight="1" s="7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2.75" customFormat="1" customHeight="1" s="7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2.75" customFormat="1" customHeight="1" s="7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2.75" customFormat="1" customHeight="1" s="7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2.75" customFormat="1" customHeight="1" s="7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2.75" customFormat="1" customHeight="1" s="7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2.75" customFormat="1" customHeight="1" s="7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2.75" customFormat="1" customHeight="1" s="7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2.75" customFormat="1" customHeight="1" s="7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2.75" customFormat="1" customHeight="1" s="7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2.75" customFormat="1" customHeight="1" s="7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2.75" customFormat="1" customHeight="1" s="7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2.75" customFormat="1" customHeight="1" s="7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2.75" customFormat="1" customHeight="1" s="7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2.75" customFormat="1" customHeight="1" s="7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2.75" customFormat="1" customHeight="1" s="7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2.75" customFormat="1" customHeight="1" s="7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2.75" customFormat="1" customHeight="1" s="7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2.75" customFormat="1" customHeight="1" s="7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2.75" customFormat="1" customHeight="1" s="7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2.75" customFormat="1" customHeight="1" s="7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2.75" customFormat="1" customHeight="1" s="7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2.75" customFormat="1" customHeight="1" s="7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2.75" customFormat="1" customHeight="1" s="7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2.75" customFormat="1" customHeight="1" s="7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2.75" customFormat="1" customHeight="1" s="7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2.75" customFormat="1" customHeight="1" s="7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2.75" customFormat="1" customHeight="1" s="7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2.75" customFormat="1" customHeight="1" s="7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2.75" customFormat="1" customHeight="1" s="7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2.75" customFormat="1" customHeight="1" s="7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2.75" customFormat="1" customHeight="1" s="7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2.75" customFormat="1" customHeight="1" s="7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2.75" customFormat="1" customHeight="1" s="7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2.75" customFormat="1" customHeight="1" s="7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2.75" customFormat="1" customHeight="1" s="7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2.75" customFormat="1" customHeight="1" s="7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2.75" customFormat="1" customHeight="1" s="7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2.75" customFormat="1" customHeight="1" s="7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2.75" customFormat="1" customHeight="1" s="7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2.75" customFormat="1" customHeight="1" s="7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2.75" customFormat="1" customHeight="1" s="7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2.75" customFormat="1" customHeight="1" s="7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2.75" customFormat="1" customHeight="1" s="7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2.75" customFormat="1" customHeight="1" s="7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2.75" customFormat="1" customHeight="1" s="7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2.75" customFormat="1" customHeight="1" s="7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2.75" customFormat="1" customHeight="1" s="7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2.75" customFormat="1" customHeight="1" s="7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2.75" customFormat="1" customHeight="1" s="7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2.75" customFormat="1" customHeight="1" s="7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2.75" customFormat="1" customHeight="1" s="7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2.75" customFormat="1" customHeight="1" s="7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2.75" customFormat="1" customHeight="1" s="7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2.75" customFormat="1" customHeight="1" s="7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2.75" customFormat="1" customHeight="1" s="7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2.75" customFormat="1" customHeight="1" s="7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2.75" customFormat="1" customHeight="1" s="7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2.75" customFormat="1" customHeight="1" s="7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2.75" customFormat="1" customHeight="1" s="7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2.75" customFormat="1" customHeight="1" s="7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2.75" customFormat="1" customHeight="1" s="7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2.75" customFormat="1" customHeight="1" s="7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2.75" customFormat="1" customHeight="1" s="7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2.75" customFormat="1" customHeight="1" s="7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2.75" customFormat="1" customHeight="1" s="7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2.75" customFormat="1" customHeight="1" s="7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2.75" customFormat="1" customHeight="1" s="7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2.75" customFormat="1" customHeight="1" s="7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2.75" customFormat="1" customHeight="1" s="7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2.75" customFormat="1" customHeight="1" s="7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2.75" customFormat="1" customHeight="1" s="7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2.75" customFormat="1" customHeight="1" s="7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2.75" customFormat="1" customHeight="1" s="7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2.75" customFormat="1" customHeight="1" s="7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2.75" customFormat="1" customHeight="1" s="7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2.75" customFormat="1" customHeight="1" s="7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2.75" customFormat="1" customHeight="1" s="7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2.75" customFormat="1" customHeight="1" s="7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2.75" customFormat="1" customHeight="1" s="7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2.75" customFormat="1" customHeight="1" s="7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2.75" customFormat="1" customHeight="1" s="7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2.75" customFormat="1" customHeight="1" s="7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2.75" customFormat="1" customHeight="1" s="7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2.75" customFormat="1" customHeight="1" s="7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2.75" customFormat="1" customHeight="1" s="7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2.75" customFormat="1" customHeight="1" s="7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2.75" customFormat="1" customHeight="1" s="7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2.75" customFormat="1" customHeight="1" s="7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2.75" customFormat="1" customHeight="1" s="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2.75" customFormat="1" customHeight="1" s="7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2.75" customFormat="1" customHeight="1" s="7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2.75" customFormat="1" customHeight="1" s="7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2.75" customFormat="1" customHeight="1" s="7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2.75" customFormat="1" customHeight="1" s="7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2.75" customFormat="1" customHeight="1" s="7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2.75" customFormat="1" customHeight="1" s="7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2.75" customFormat="1" customHeight="1" s="7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2.75" customFormat="1" customHeight="1" s="7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2.75" customFormat="1" customHeight="1" s="7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2.75" customFormat="1" customHeight="1" s="7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2.75" customFormat="1" customHeight="1" s="7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2.75" customFormat="1" customHeight="1" s="7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2.75" customFormat="1" customHeight="1" s="7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2.75" customFormat="1" customHeight="1" s="7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2.75" customFormat="1" customHeight="1" s="7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2.75" customFormat="1" customHeight="1" s="7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2.75" customFormat="1" customHeight="1" s="7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2.75" customFormat="1" customHeight="1" s="7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2.75" customFormat="1" customHeight="1" s="7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2.75" customFormat="1" customHeight="1" s="7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2.75" customFormat="1" customHeight="1" s="7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2.75" customFormat="1" customHeight="1" s="7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2.75" customFormat="1" customHeight="1" s="7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2.75" customFormat="1" customHeight="1" s="7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2.75" customFormat="1" customHeight="1" s="7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2.75" customFormat="1" customHeight="1" s="7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2.75" customFormat="1" customHeight="1" s="7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2.75" customFormat="1" customHeight="1" s="7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2.75" customFormat="1" customHeight="1" s="7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2.75" customFormat="1" customHeight="1" s="7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2.75" customFormat="1" customHeight="1" s="7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2.75" customFormat="1" customHeight="1" s="7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2.75" customFormat="1" customHeight="1" s="7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2.75" customFormat="1" customHeight="1" s="7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2.75" customFormat="1" customHeight="1" s="7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2.75" customFormat="1" customHeight="1" s="7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2.75" customFormat="1" customHeight="1" s="7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2.75" customFormat="1" customHeight="1" s="7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2.75" customFormat="1" customHeight="1" s="7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2.75" customFormat="1" customHeight="1" s="7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2.75" customFormat="1" customHeight="1" s="7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2.75" customFormat="1" customHeight="1" s="7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2.75" customFormat="1" customHeight="1" s="7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2.75" customFormat="1" customHeight="1" s="7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2.75" customFormat="1" customHeight="1" s="7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2.75" customFormat="1" customHeight="1" s="7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2.75" customFormat="1" customHeight="1" s="7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2.75" customFormat="1" customHeight="1" s="7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2.75" customFormat="1" customHeight="1" s="7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2.75" customFormat="1" customHeight="1" s="7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2.75" customFormat="1" customHeight="1" s="7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2.75" customFormat="1" customHeight="1" s="7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2.75" customFormat="1" customHeight="1" s="7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2.75" customFormat="1" customHeight="1" s="7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2.75" customFormat="1" customHeight="1" s="7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2.75" customFormat="1" customHeight="1" s="7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2.75" customFormat="1" customHeight="1" s="7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2.75" customFormat="1" customHeight="1" s="7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2.75" customFormat="1" customHeight="1" s="7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2.75" customFormat="1" customHeight="1" s="7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2.75" customFormat="1" customHeight="1" s="7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2.75" customFormat="1" customHeight="1" s="7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2.75" customFormat="1" customHeight="1" s="7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2.75" customFormat="1" customHeight="1" s="7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2.75" customFormat="1" customHeight="1" s="7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2.75" customFormat="1" customHeight="1" s="7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2.75" customFormat="1" customHeight="1" s="7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2.75" customFormat="1" customHeight="1" s="7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2.75" customFormat="1" customHeight="1" s="7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2.75" customFormat="1" customHeight="1" s="7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2.75" customFormat="1" customHeight="1" s="7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2.75" customFormat="1" customHeight="1" s="7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2.75" customFormat="1" customHeight="1" s="7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2.75" customFormat="1" customHeight="1" s="7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2.75" customFormat="1" customHeight="1" s="7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2.75" customFormat="1" customHeight="1" s="7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2.75" customFormat="1" customHeight="1" s="7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2.75" customFormat="1" customHeight="1" s="7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2.75" customFormat="1" customHeight="1" s="7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2.75" customFormat="1" customHeight="1" s="7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2.75" customFormat="1" customHeight="1" s="7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2.75" customFormat="1" customHeight="1" s="7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2.75" customFormat="1" customHeight="1" s="7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2.75" customFormat="1" customHeight="1" s="7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2.75" customFormat="1" customHeight="1" s="7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2.75" customFormat="1" customHeight="1" s="7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2.75" customFormat="1" customHeight="1" s="7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2.75" customFormat="1" customHeight="1" s="7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2.75" customFormat="1" customHeight="1" s="7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2.75" customFormat="1" customHeight="1" s="7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2.75" customFormat="1" customHeight="1" s="7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2.75" customFormat="1" customHeight="1" s="7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2.75" customFormat="1" customHeight="1" s="7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2.75" customFormat="1" customHeight="1" s="7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2.75" customFormat="1" customHeight="1" s="7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2.75" customFormat="1" customHeight="1" s="7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2.75" customFormat="1" customHeight="1" s="7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2.75" customFormat="1" customHeight="1" s="7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2.75" customFormat="1" customHeight="1" s="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2.75" customFormat="1" customHeight="1" s="7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2.75" customFormat="1" customHeight="1" s="7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2.75" customFormat="1" customHeight="1" s="7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2.75" customFormat="1" customHeight="1" s="7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2.75" customFormat="1" customHeight="1" s="7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2.75" customFormat="1" customHeight="1" s="7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2.75" customFormat="1" customHeight="1" s="7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2.75" customFormat="1" customHeight="1" s="7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2.75" customFormat="1" customHeight="1" s="7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2.75" customFormat="1" customHeight="1" s="7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2.75" customFormat="1" customHeight="1" s="7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2.75" customFormat="1" customHeight="1" s="7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2.75" customFormat="1" customHeight="1" s="7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2.75" customFormat="1" customHeight="1" s="7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2.75" customFormat="1" customHeight="1" s="7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2.75" customFormat="1" customHeight="1" s="7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2.75" customFormat="1" customHeight="1" s="7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2.75" customFormat="1" customHeight="1" s="7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2.75" customFormat="1" customHeight="1" s="7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2.75" customFormat="1" customHeight="1" s="7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2.75" customFormat="1" customHeight="1" s="7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2.75" customFormat="1" customHeight="1" s="7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2.75" customFormat="1" customHeight="1" s="7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2.75" customFormat="1" customHeight="1" s="7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2.75" customFormat="1" customHeight="1" s="7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2.75" customFormat="1" customHeight="1" s="7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2.75" customFormat="1" customHeight="1" s="7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2.75" customFormat="1" customHeight="1" s="7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2.75" customFormat="1" customHeight="1" s="7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2.75" customFormat="1" customHeight="1" s="7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2.75" customFormat="1" customHeight="1" s="7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2.75" customFormat="1" customHeight="1" s="7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2.75" customFormat="1" customHeight="1" s="7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2.75" customFormat="1" customHeight="1" s="7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2.75" customFormat="1" customHeight="1" s="7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2.75" customFormat="1" customHeight="1" s="7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2.75" customFormat="1" customHeight="1" s="7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2.75" customFormat="1" customHeight="1" s="7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2.75" customFormat="1" customHeight="1" s="7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2.75" customFormat="1" customHeight="1" s="7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2.75" customFormat="1" customHeight="1" s="7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2.75" customFormat="1" customHeight="1" s="7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2.75" customFormat="1" customHeight="1" s="7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2.75" customFormat="1" customHeight="1" s="7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2.75" customFormat="1" customHeight="1" s="7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2.75" customFormat="1" customHeight="1" s="7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2.75" customFormat="1" customHeight="1" s="7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2.75" customFormat="1" customHeight="1" s="7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2.75" customFormat="1" customHeight="1" s="7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2.75" customFormat="1" customHeight="1" s="7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2.75" customFormat="1" customHeight="1" s="7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2.75" customFormat="1" customHeight="1" s="7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2.75" customFormat="1" customHeight="1" s="7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2.75" customFormat="1" customHeight="1" s="7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2.75" customFormat="1" customHeight="1" s="7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2.75" customFormat="1" customHeight="1" s="7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2.75" customFormat="1" customHeight="1" s="7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2.75" customFormat="1" customHeight="1" s="7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2.75" customFormat="1" customHeight="1" s="7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2.75" customFormat="1" customHeight="1" s="7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2.75" customFormat="1" customHeight="1" s="7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2.75" customFormat="1" customHeight="1" s="7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2.75" customFormat="1" customHeight="1" s="7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2.75" customFormat="1" customHeight="1" s="7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2.75" customFormat="1" customHeight="1" s="7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2.75" customFormat="1" customHeight="1" s="7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2.75" customFormat="1" customHeight="1" s="7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2.75" customFormat="1" customHeight="1" s="7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2.75" customFormat="1" customHeight="1" s="7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2.75" customFormat="1" customHeight="1" s="7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2.75" customFormat="1" customHeight="1" s="7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2.75" customFormat="1" customHeight="1" s="7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2.75" customFormat="1" customHeight="1" s="7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2.75" customFormat="1" customHeight="1" s="7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2.75" customFormat="1" customHeight="1" s="7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2.75" customFormat="1" customHeight="1" s="7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2.75" customFormat="1" customHeight="1" s="7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2.75" customFormat="1" customHeight="1" s="7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2.75" customFormat="1" customHeight="1" s="7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2.75" customFormat="1" customHeight="1" s="7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2.75" customFormat="1" customHeight="1" s="7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2.75" customFormat="1" customHeight="1" s="7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2.75" customFormat="1" customHeight="1" s="7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2.75" customFormat="1" customHeight="1" s="7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2.75" customFormat="1" customHeight="1" s="7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2.75" customFormat="1" customHeight="1" s="7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2.75" customFormat="1" customHeight="1" s="7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2.75" customFormat="1" customHeight="1" s="7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2.75" customFormat="1" customHeight="1" s="7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2.75" customFormat="1" customHeight="1" s="7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2.75" customFormat="1" customHeight="1" s="7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2.75" customFormat="1" customHeight="1" s="7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2.75" customFormat="1" customHeight="1" s="7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2.75" customFormat="1" customHeight="1" s="7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2.75" customFormat="1" customHeight="1" s="7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2.75" customFormat="1" customHeight="1" s="7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2.75" customFormat="1" customHeight="1" s="7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2.75" customFormat="1" customHeight="1" s="7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2.75" customFormat="1" customHeight="1" s="7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2.75" customFormat="1" customHeight="1" s="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2.75" customFormat="1" customHeight="1" s="7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2.75" customFormat="1" customHeight="1" s="7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2.75" customFormat="1" customHeight="1" s="7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2.75" customFormat="1" customHeight="1" s="7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2.75" customFormat="1" customHeight="1" s="7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2.75" customFormat="1" customHeight="1" s="7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2.75" customFormat="1" customHeight="1" s="7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2.75" customFormat="1" customHeight="1" s="7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2.75" customFormat="1" customHeight="1" s="7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2.75" customFormat="1" customHeight="1" s="7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2.75" customFormat="1" customHeight="1" s="7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2.75" customFormat="1" customHeight="1" s="7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2.75" customFormat="1" customHeight="1" s="7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2.75" customFormat="1" customHeight="1" s="7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2.75" customFormat="1" customHeight="1" s="7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2.75" customFormat="1" customHeight="1" s="7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2.75" customFormat="1" customHeight="1" s="7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2.75" customFormat="1" customHeight="1" s="7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2.75" customFormat="1" customHeight="1" s="7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2.75" customFormat="1" customHeight="1" s="7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2.75" customFormat="1" customHeight="1" s="7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2.75" customFormat="1" customHeight="1" s="7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2.75" customFormat="1" customHeight="1" s="7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2.75" customFormat="1" customHeight="1" s="7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2.75" customFormat="1" customHeight="1" s="7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2.75" customFormat="1" customHeight="1" s="7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2.75" customFormat="1" customHeight="1" s="7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2.75" customFormat="1" customHeight="1" s="7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2.75" customFormat="1" customHeight="1" s="7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2.75" customFormat="1" customHeight="1" s="7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2.75" customFormat="1" customHeight="1" s="7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2.75" customFormat="1" customHeight="1" s="7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2.75" customFormat="1" customHeight="1" s="7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2.75" customFormat="1" customHeight="1" s="7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2.75" customFormat="1" customHeight="1" s="7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2.75" customFormat="1" customHeight="1" s="7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2.75" customFormat="1" customHeight="1" s="7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2.75" customFormat="1" customHeight="1" s="7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2.75" customFormat="1" customHeight="1" s="7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2.75" customFormat="1" customHeight="1" s="7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2.75" customFormat="1" customHeight="1" s="7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2.75" customFormat="1" customHeight="1" s="7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2.75" customFormat="1" customHeight="1" s="7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2.75" customFormat="1" customHeight="1" s="7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2.75" customFormat="1" customHeight="1" s="7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2.75" customFormat="1" customHeight="1" s="7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2.75" customFormat="1" customHeight="1" s="7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2.75" customFormat="1" customHeight="1" s="7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2.75" customFormat="1" customHeight="1" s="7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2.75" customFormat="1" customHeight="1" s="7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2.75" customFormat="1" customHeight="1" s="7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2.75" customFormat="1" customHeight="1" s="7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2.75" customFormat="1" customHeight="1" s="7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2.75" customFormat="1" customHeight="1" s="7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2.75" customFormat="1" customHeight="1" s="7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2.75" customFormat="1" customHeight="1" s="7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2.75" customFormat="1" customHeight="1" s="7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2.75" customFormat="1" customHeight="1" s="7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2.75" customFormat="1" customHeight="1" s="7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2.75" customFormat="1" customHeight="1" s="7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2.75" customFormat="1" customHeight="1" s="7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2.75" customFormat="1" customHeight="1" s="7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2.75" customFormat="1" customHeight="1" s="7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2.75" customFormat="1" customHeight="1" s="7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2.75" customFormat="1" customHeight="1" s="7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2.75" customFormat="1" customHeight="1" s="7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2.75" customFormat="1" customHeight="1" s="7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2.75" customFormat="1" customHeight="1" s="7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2.75" customFormat="1" customHeight="1" s="7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2.75" customFormat="1" customHeight="1" s="7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2.75" customFormat="1" customHeight="1" s="7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2.75" customFormat="1" customHeight="1" s="7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2.75" customFormat="1" customHeight="1" s="7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2.75" customFormat="1" customHeight="1" s="7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2.75" customFormat="1" customHeight="1" s="7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2.75" customFormat="1" customHeight="1" s="7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2.75" customFormat="1" customHeight="1" s="7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2.75" customFormat="1" customHeight="1" s="7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2.75" customFormat="1" customHeight="1" s="7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2.75" customFormat="1" customHeight="1" s="7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2.75" customFormat="1" customHeight="1" s="7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2.75" customFormat="1" customHeight="1" s="7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2.75" customFormat="1" customHeight="1" s="7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2.75" customFormat="1" customHeight="1" s="7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2.75" customFormat="1" customHeight="1" s="7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2.75" customFormat="1" customHeight="1" s="7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2.75" customFormat="1" customHeight="1" s="7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2.75" customFormat="1" customHeight="1" s="7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2.75" customFormat="1" customHeight="1" s="7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2.75" customFormat="1" customHeight="1" s="7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2.75" customFormat="1" customHeight="1" s="7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2.75" customFormat="1" customHeight="1" s="7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2.75" customFormat="1" customHeight="1" s="7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2.75" customFormat="1" customHeight="1" s="7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2.75" customFormat="1" customHeight="1" s="7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2.75" customFormat="1" customHeight="1" s="7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2.75" customFormat="1" customHeight="1" s="7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2.75" customFormat="1" customHeight="1" s="7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2.75" customFormat="1" customHeight="1" s="7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2.75" customFormat="1" customHeight="1" s="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2.75" customFormat="1" customHeight="1" s="7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2.75" customFormat="1" customHeight="1" s="7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2.75" customFormat="1" customHeight="1" s="7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2.75" customFormat="1" customHeight="1" s="7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2.75" customFormat="1" customHeight="1" s="7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2.75" customFormat="1" customHeight="1" s="7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2.75" customFormat="1" customHeight="1" s="7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2.75" customFormat="1" customHeight="1" s="7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2.75" customFormat="1" customHeight="1" s="7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2.75" customFormat="1" customHeight="1" s="7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2.75" customFormat="1" customHeight="1" s="7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2.75" customFormat="1" customHeight="1" s="7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2.75" customFormat="1" customHeight="1" s="7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2.75" customFormat="1" customHeight="1" s="7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2.75" customFormat="1" customHeight="1" s="7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2.75" customFormat="1" customHeight="1" s="7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2.75" customFormat="1" customHeight="1" s="7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2.75" customFormat="1" customHeight="1" s="7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2.75" customFormat="1" customHeight="1" s="7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2.75" customFormat="1" customHeight="1" s="7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2.75" customFormat="1" customHeight="1" s="7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2.75" customFormat="1" customHeight="1" s="7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2.75" customFormat="1" customHeight="1" s="7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2.75" customFormat="1" customHeight="1" s="7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2.75" customFormat="1" customHeight="1" s="7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2.75" customFormat="1" customHeight="1" s="7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2.75" customFormat="1" customHeight="1" s="7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2.75" customFormat="1" customHeight="1" s="7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2.75" customFormat="1" customHeight="1" s="7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2.75" customFormat="1" customHeight="1" s="7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2.75" customFormat="1" customHeight="1" s="7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2.75" customFormat="1" customHeight="1" s="7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2.75" customFormat="1" customHeight="1" s="7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2.75" customFormat="1" customHeight="1" s="7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2.75" customFormat="1" customHeight="1" s="7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2.75" customFormat="1" customHeight="1" s="7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2.75" customFormat="1" customHeight="1" s="7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2.75" customFormat="1" customHeight="1" s="7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2.75" customFormat="1" customHeight="1" s="7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2.75" customFormat="1" customHeight="1" s="7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2.75" customFormat="1" customHeight="1" s="7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2.75" customFormat="1" customHeight="1" s="7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2.75" customFormat="1" customHeight="1" s="7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2.75" customFormat="1" customHeight="1" s="7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2.75" customFormat="1" customHeight="1" s="7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2.75" customFormat="1" customHeight="1" s="7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2.75" customFormat="1" customHeight="1" s="7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2.75" customFormat="1" customHeight="1" s="7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2.75" customFormat="1" customHeight="1" s="7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2.75" customFormat="1" customHeight="1" s="7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2.75" customFormat="1" customHeight="1" s="7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2.75" customFormat="1" customHeight="1" s="7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2.75" customFormat="1" customHeight="1" s="7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2.75" customFormat="1" customHeight="1" s="7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2.75" customFormat="1" customHeight="1" s="7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2.75" customFormat="1" customHeight="1" s="7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2.75" customFormat="1" customHeight="1" s="7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2.75" customFormat="1" customHeight="1" s="7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2.75" customFormat="1" customHeight="1" s="7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2.75" customFormat="1" customHeight="1" s="7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2.75" customFormat="1" customHeight="1" s="7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2.75" customFormat="1" customHeight="1" s="7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2.75" customFormat="1" customHeight="1" s="7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2.75" customFormat="1" customHeight="1" s="7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2.75" customFormat="1" customHeight="1" s="7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2.75" customFormat="1" customHeight="1" s="7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2.75" customFormat="1" customHeight="1" s="7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2.75" customFormat="1" customHeight="1" s="7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2.75" customFormat="1" customHeight="1" s="7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2.75" customFormat="1" customHeight="1" s="7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2.75" customFormat="1" customHeight="1" s="7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2.75" customFormat="1" customHeight="1" s="7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2.75" customFormat="1" customHeight="1" s="7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2.75" customFormat="1" customHeight="1" s="7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2.75" customFormat="1" customHeight="1" s="7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2.75" customFormat="1" customHeight="1" s="7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2.75" customFormat="1" customHeight="1" s="7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2.75" customFormat="1" customHeight="1" s="7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2.75" customFormat="1" customHeight="1" s="7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2.75" customFormat="1" customHeight="1" s="7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2.75" customFormat="1" customHeight="1" s="7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2.75" customFormat="1" customHeight="1" s="7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2.75" customFormat="1" customHeight="1" s="7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2.75" customFormat="1" customHeight="1" s="7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2.75" customFormat="1" customHeight="1" s="7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2.75" customFormat="1" customHeight="1" s="7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2.75" customFormat="1" customHeight="1" s="7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2.75" customFormat="1" customHeight="1" s="7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2.75" customFormat="1" customHeight="1" s="7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2.75" customFormat="1" customHeight="1" s="7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2.75" customFormat="1" customHeight="1" s="7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2.75" customFormat="1" customHeight="1" s="7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2.75" customFormat="1" customHeight="1" s="7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2.75" customFormat="1" customHeight="1" s="7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2.75" customFormat="1" customHeight="1" s="7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2.75" customFormat="1" customHeight="1" s="7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2.75" customFormat="1" customHeight="1" s="7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2.75" customFormat="1" customHeight="1" s="7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2.75" customFormat="1" customHeight="1" s="7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2.75" customFormat="1" customHeight="1" s="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2.75" customFormat="1" customHeight="1" s="7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2.75" customFormat="1" customHeight="1" s="7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2.75" customFormat="1" customHeight="1" s="7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2.75" customFormat="1" customHeight="1" s="7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2.75" customFormat="1" customHeight="1" s="7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2.75" customFormat="1" customHeight="1" s="7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2.75" customFormat="1" customHeight="1" s="7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2.75" customFormat="1" customHeight="1" s="7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2.75" customFormat="1" customHeight="1" s="7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2.75" customFormat="1" customHeight="1" s="7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2.75" customFormat="1" customHeight="1" s="7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2.75" customFormat="1" customHeight="1" s="7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2.75" customFormat="1" customHeight="1" s="7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2.75" customFormat="1" customHeight="1" s="7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2.75" customFormat="1" customHeight="1" s="7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2.75" customFormat="1" customHeight="1" s="7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2.75" customFormat="1" customHeight="1" s="7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2.75" customFormat="1" customHeight="1" s="7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2.75" customFormat="1" customHeight="1" s="7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2.75" customFormat="1" customHeight="1" s="7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2.75" customFormat="1" customHeight="1" s="7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2.75" customFormat="1" customHeight="1" s="7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2.75" customFormat="1" customHeight="1" s="7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2.75" customFormat="1" customHeight="1" s="7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2.75" customFormat="1" customHeight="1" s="7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2.75" customFormat="1" customHeight="1" s="7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2.75" customFormat="1" customHeight="1" s="7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2.75" customFormat="1" customHeight="1" s="7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2.75" customFormat="1" customHeight="1" s="7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2.75" customFormat="1" customHeight="1" s="7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2.75" customFormat="1" customHeight="1" s="7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2.75" customFormat="1" customHeight="1" s="7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2.75" customFormat="1" customHeight="1" s="7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2.75" customFormat="1" customHeight="1" s="7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2.75" customFormat="1" customHeight="1" s="7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2.75" customFormat="1" customHeight="1" s="7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2.75" customFormat="1" customHeight="1" s="7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2.75" customFormat="1" customHeight="1" s="7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2.75" customFormat="1" customHeight="1" s="7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2.75" customFormat="1" customHeight="1" s="7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2.75" customFormat="1" customHeight="1" s="7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2.75" customFormat="1" customHeight="1" s="7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2.75" customFormat="1" customHeight="1" s="7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2.75" customFormat="1" customHeight="1" s="7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2.75" customFormat="1" customHeight="1" s="7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2.75" customFormat="1" customHeight="1" s="7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2.75" customFormat="1" customHeight="1" s="7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2.75" customFormat="1" customHeight="1" s="7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2.75" customFormat="1" customHeight="1" s="7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2.75" customFormat="1" customHeight="1" s="7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2.75" customFormat="1" customHeight="1" s="7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2.75" customFormat="1" customHeight="1" s="7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2.75" customFormat="1" customHeight="1" s="7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2.75" customFormat="1" customHeight="1" s="7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2.75" customFormat="1" customHeight="1" s="7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2.75" customFormat="1" customHeight="1" s="7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2.75" customFormat="1" customHeight="1" s="7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2.75" customFormat="1" customHeight="1" s="7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2.75" customFormat="1" customHeight="1" s="7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2.75" customFormat="1" customHeight="1" s="7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2.75" customFormat="1" customHeight="1" s="7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2.75" customFormat="1" customHeight="1" s="7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2.75" customFormat="1" customHeight="1" s="7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2.75" customFormat="1" customHeight="1" s="7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2.75" customFormat="1" customHeight="1" s="7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2.75" customFormat="1" customHeight="1" s="7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2.75" customFormat="1" customHeight="1" s="7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2.75" customFormat="1" customHeight="1" s="7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2.75" customFormat="1" customHeight="1" s="7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2.75" customFormat="1" customHeight="1" s="7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2.75" customFormat="1" customHeight="1" s="7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2.75" customFormat="1" customHeight="1" s="7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2.75" customFormat="1" customHeight="1" s="7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2.75" customFormat="1" customHeight="1" s="7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2.75" customFormat="1" customHeight="1" s="7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2.75" customFormat="1" customHeight="1" s="7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2.75" customFormat="1" customHeight="1" s="7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2.75" customFormat="1" customHeight="1" s="7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2.75" customFormat="1" customHeight="1" s="7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2.75" customFormat="1" customHeight="1" s="7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2.75" customFormat="1" customHeight="1" s="7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2.75" customFormat="1" customHeight="1" s="7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2.75" customFormat="1" customHeight="1" s="7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2.75" customFormat="1" customHeight="1" s="7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2.75" customFormat="1" customHeight="1" s="7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2.75" customFormat="1" customHeight="1" s="7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2.75" customFormat="1" customHeight="1" s="7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2.75" customFormat="1" customHeight="1" s="7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2.75" customFormat="1" customHeight="1" s="7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2.75" customFormat="1" customHeight="1" s="7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2.75" customFormat="1" customHeight="1" s="7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2.75" customFormat="1" customHeight="1" s="7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2.75" customFormat="1" customHeight="1" s="7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2.75" customFormat="1" customHeight="1" s="7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2.75" customFormat="1" customHeight="1" s="7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2.75" customFormat="1" customHeight="1" s="7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2.75" customFormat="1" customHeight="1" s="7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2.75" customFormat="1" customHeight="1" s="7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2.75" customFormat="1" customHeight="1" s="7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2.75" customFormat="1" customHeight="1" s="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2.75" customFormat="1" customHeight="1" s="7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2.75" customFormat="1" customHeight="1" s="7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2.75" customFormat="1" customHeight="1" s="7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2.75" customFormat="1" customHeight="1" s="7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2.75" customFormat="1" customHeight="1" s="7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2.75" customFormat="1" customHeight="1" s="7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2.75" customFormat="1" customHeight="1" s="7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2.75" customFormat="1" customHeight="1" s="7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2.75" customFormat="1" customHeight="1" s="7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2.75" customFormat="1" customHeight="1" s="7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2.75" customFormat="1" customHeight="1" s="7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2.75" customFormat="1" customHeight="1" s="7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2.75" customFormat="1" customHeight="1" s="7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2.75" customFormat="1" customHeight="1" s="7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2.75" customFormat="1" customHeight="1" s="7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2.75" customFormat="1" customHeight="1" s="7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2.75" customFormat="1" customHeight="1" s="7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2.75" customFormat="1" customHeight="1" s="7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2.75" customFormat="1" customHeight="1" s="7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2.75" customFormat="1" customHeight="1" s="7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2.75" customFormat="1" customHeight="1" s="7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2.75" customFormat="1" customHeight="1" s="7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2.75" customFormat="1" customHeight="1" s="7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2.75" customFormat="1" customHeight="1" s="7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2578125" defaultRowHeight="12.75"/>
  <cols>
    <col width="12.5703125" customWidth="1" style="76" min="1" max="6"/>
  </cols>
  <sheetData>
    <row r="1" ht="15.75" customFormat="1" customHeight="1" s="76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.75" customFormat="1" customHeight="1" s="76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15.75" customFormat="1" customHeight="1" s="76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.75" customFormat="1" customHeight="1" s="76">
      <c r="A4" s="1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15.75" customFormat="1" customHeight="1" s="76">
      <c r="A5" s="1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15.75" customFormat="1" customHeight="1" s="76">
      <c r="A6" s="1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 ht="15.75" customFormat="1" customHeight="1" s="76">
      <c r="A7" s="1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 ht="15.75" customFormat="1" customHeight="1" s="76">
      <c r="A8" s="1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 ht="15.75" customFormat="1" customHeight="1" s="76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 ht="15.75" customFormat="1" customHeight="1" s="76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 ht="15.75" customFormat="1" customHeight="1" s="76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 ht="15.75" customFormat="1" customHeight="1" s="76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 ht="15.75" customFormat="1" customHeight="1" s="76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 ht="15.75" customFormat="1" customHeight="1" s="76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 ht="15.75" customFormat="1" customHeight="1" s="76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 ht="15.75" customFormat="1" customHeight="1" s="7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 ht="15.75" customFormat="1" customHeight="1" s="76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 ht="15.75" customFormat="1" customHeight="1" s="76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 ht="15.75" customFormat="1" customHeight="1" s="76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 ht="15.75" customFormat="1" customHeight="1" s="76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 ht="15.75" customFormat="1" customHeight="1" s="76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 ht="15.75" customFormat="1" customHeight="1" s="76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 ht="15.75" customFormat="1" customHeight="1" s="76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15.75" customFormat="1" customHeight="1" s="76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15.75" customFormat="1" customHeight="1" s="76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15.75" customFormat="1" customHeight="1" s="7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 ht="15.75" customFormat="1" customHeight="1" s="76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 ht="15.75" customFormat="1" customHeight="1" s="76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 ht="15.75" customFormat="1" customHeight="1" s="76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 ht="15.75" customFormat="1" customHeight="1" s="76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 ht="15.75" customFormat="1" customHeight="1" s="76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 ht="15.75" customFormat="1" customHeight="1" s="76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 ht="15.75" customFormat="1" customHeight="1" s="76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 ht="15.75" customFormat="1" customHeight="1" s="76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15.75" customFormat="1" customHeight="1" s="76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 ht="15.75" customFormat="1" customHeight="1" s="7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 ht="15.75" customFormat="1" customHeight="1" s="76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 ht="15.75" customFormat="1" customHeight="1" s="76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5.75" customFormat="1" customHeight="1" s="76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 ht="15.75" customFormat="1" customHeight="1" s="76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 ht="15.75" customFormat="1" customHeight="1" s="76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 ht="15.75" customFormat="1" customHeight="1" s="76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 ht="15.75" customFormat="1" customHeight="1" s="76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 ht="15.75" customFormat="1" customHeight="1" s="76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 ht="15.75" customFormat="1" customHeight="1" s="76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15.75" customFormat="1" customHeight="1" s="7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15.75" customFormat="1" customHeight="1" s="76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15.75" customFormat="1" customHeight="1" s="76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15.75" customFormat="1" customHeight="1" s="76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 ht="15.75" customFormat="1" customHeight="1" s="76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 ht="15.75" customFormat="1" customHeight="1" s="76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15.75" customFormat="1" customHeight="1" s="76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15.75" customFormat="1" customHeight="1" s="76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15.75" customFormat="1" customHeight="1" s="76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15.75" customFormat="1" customHeight="1" s="76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15.75" customFormat="1" customHeight="1" s="7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15.75" customFormat="1" customHeight="1" s="76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15.75" customFormat="1" customHeight="1" s="76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15.75" customFormat="1" customHeight="1" s="76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15.75" customFormat="1" customHeight="1" s="76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15.75" customFormat="1" customHeight="1" s="76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15.75" customFormat="1" customHeight="1" s="76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15.75" customFormat="1" customHeight="1" s="76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15.75" customFormat="1" customHeight="1" s="76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15.75" customFormat="1" customHeight="1" s="76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15.75" customFormat="1" customHeight="1" s="7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15.75" customFormat="1" customHeight="1" s="76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15.75" customFormat="1" customHeight="1" s="76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15.75" customFormat="1" customHeight="1" s="76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15.75" customFormat="1" customHeight="1" s="76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15.75" customFormat="1" customHeight="1" s="76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15.75" customFormat="1" customHeight="1" s="76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15.75" customFormat="1" customHeight="1" s="76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15.75" customFormat="1" customHeight="1" s="76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15.75" customFormat="1" customHeight="1" s="76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15.75" customFormat="1" customHeight="1" s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 ht="15.75" customFormat="1" customHeight="1" s="76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 ht="15.75" customFormat="1" customHeight="1" s="76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 ht="15.75" customFormat="1" customHeight="1" s="76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 ht="15.75" customFormat="1" customHeight="1" s="76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 ht="15.75" customFormat="1" customHeight="1" s="76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 ht="15.75" customFormat="1" customHeight="1" s="76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 ht="15.75" customFormat="1" customHeight="1" s="76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 ht="15.75" customFormat="1" customHeight="1" s="76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 ht="15.75" customFormat="1" customHeight="1" s="76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 ht="15.75" customFormat="1" customHeight="1" s="7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 ht="15.75" customFormat="1" customHeight="1" s="76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 ht="15.75" customFormat="1" customHeight="1" s="76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 ht="15.75" customFormat="1" customHeight="1" s="76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 ht="15.75" customFormat="1" customHeight="1" s="76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 ht="15.75" customFormat="1" customHeight="1" s="76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 ht="15.75" customFormat="1" customHeight="1" s="76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 ht="15.75" customFormat="1" customHeight="1" s="76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 ht="15.75" customFormat="1" customHeight="1" s="76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 ht="15.75" customFormat="1" customHeight="1" s="76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 ht="15.75" customFormat="1" customHeight="1" s="7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 ht="15.75" customFormat="1" customHeight="1" s="76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 ht="15.75" customFormat="1" customHeight="1" s="76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 ht="15.75" customFormat="1" customHeight="1" s="76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 ht="15.75" customFormat="1" customHeight="1" s="76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 ht="12.75" customFormat="1" customHeight="1" s="76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 ht="12.75" customFormat="1" customHeight="1" s="76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 ht="12.75" customFormat="1" customHeight="1" s="76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 ht="12.75" customFormat="1" customHeight="1" s="76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 ht="12.75" customFormat="1" customHeight="1" s="76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 ht="12.75" customFormat="1" customHeight="1" s="7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 ht="12.75" customFormat="1" customHeight="1" s="76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 ht="12.75" customFormat="1" customHeight="1" s="76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 ht="12.75" customFormat="1" customHeight="1" s="76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 ht="12.75" customFormat="1" customHeight="1" s="76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 ht="12.75" customFormat="1" customHeight="1" s="76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 ht="12.75" customFormat="1" customHeight="1" s="76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 ht="12.75" customFormat="1" customHeight="1" s="76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 ht="12.75" customFormat="1" customHeight="1" s="76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 ht="12.75" customFormat="1" customHeight="1" s="76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 ht="12.75" customFormat="1" customHeight="1" s="7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 ht="12.75" customFormat="1" customHeight="1" s="76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 ht="12.75" customFormat="1" customHeight="1" s="7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 ht="12.75" customFormat="1" customHeight="1" s="76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 ht="12.75" customFormat="1" customHeight="1" s="76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 ht="12.75" customFormat="1" customHeight="1" s="7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 ht="12.75" customFormat="1" customHeight="1" s="7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 ht="12.75" customFormat="1" customHeight="1" s="76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 ht="12.75" customFormat="1" customHeight="1" s="76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 ht="12.75" customFormat="1" customHeight="1" s="7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 ht="12.75" customFormat="1" customHeight="1" s="7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 ht="12.75" customFormat="1" customHeight="1" s="7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 ht="12.75" customFormat="1" customHeight="1" s="7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 ht="12.75" customFormat="1" customHeight="1" s="7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 ht="12.75" customFormat="1" customHeight="1" s="7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 ht="12.75" customFormat="1" customHeight="1" s="7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 ht="12.75" customFormat="1" customHeight="1" s="7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 ht="12.75" customFormat="1" customHeight="1" s="7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 ht="12.75" customFormat="1" customHeight="1" s="7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 ht="12.75" customFormat="1" customHeight="1" s="7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 ht="12.75" customFormat="1" customHeight="1" s="7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 ht="12.75" customFormat="1" customHeight="1" s="7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 ht="12.75" customFormat="1" customHeight="1" s="7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 ht="12.75" customFormat="1" customHeight="1" s="7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 ht="12.75" customFormat="1" customHeight="1" s="7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 ht="12.75" customFormat="1" customHeight="1" s="7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 ht="12.75" customFormat="1" customHeight="1" s="7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 ht="12.75" customFormat="1" customHeight="1" s="7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 ht="12.75" customFormat="1" customHeight="1" s="7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 ht="12.75" customFormat="1" customHeight="1" s="7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 ht="12.75" customFormat="1" customHeight="1" s="7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 ht="12.75" customFormat="1" customHeight="1" s="7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 ht="12.75" customFormat="1" customHeight="1" s="7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 ht="12.75" customFormat="1" customHeight="1" s="7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 ht="12.75" customFormat="1" customHeight="1" s="7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 ht="12.75" customFormat="1" customHeight="1" s="7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 ht="12.75" customFormat="1" customHeight="1" s="7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 ht="12.75" customFormat="1" customHeight="1" s="7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 ht="12.75" customFormat="1" customHeight="1" s="7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 ht="12.75" customFormat="1" customHeight="1" s="7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 ht="12.75" customFormat="1" customHeight="1" s="7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 ht="12.75" customFormat="1" customHeight="1" s="7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 ht="12.75" customFormat="1" customHeight="1" s="7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 ht="12.75" customFormat="1" customHeight="1" s="7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 ht="12.75" customFormat="1" customHeight="1" s="7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 ht="12.75" customFormat="1" customHeight="1" s="7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 ht="12.75" customFormat="1" customHeight="1" s="7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 ht="12.75" customFormat="1" customHeight="1" s="7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 ht="12.75" customFormat="1" customHeight="1" s="7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 ht="12.75" customFormat="1" customHeight="1" s="7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 ht="12.75" customFormat="1" customHeight="1" s="7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 ht="12.75" customFormat="1" customHeight="1" s="7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 ht="12.75" customFormat="1" customHeight="1" s="7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 ht="12.75" customFormat="1" customHeight="1" s="7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 ht="12.75" customFormat="1" customHeight="1" s="7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 ht="12.75" customFormat="1" customHeight="1" s="7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 ht="12.75" customFormat="1" customHeight="1" s="7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 ht="12.75" customFormat="1" customHeight="1" s="7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 ht="12.75" customFormat="1" customHeight="1" s="7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 ht="12.75" customFormat="1" customHeight="1" s="7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 ht="12.75" customFormat="1" customHeight="1" s="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 ht="12.75" customFormat="1" customHeight="1" s="7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 ht="12.75" customFormat="1" customHeight="1" s="7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 ht="12.75" customFormat="1" customHeight="1" s="7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 ht="12.75" customFormat="1" customHeight="1" s="7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 ht="12.75" customFormat="1" customHeight="1" s="7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 ht="12.75" customFormat="1" customHeight="1" s="7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 ht="12.75" customFormat="1" customHeight="1" s="7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 ht="12.75" customFormat="1" customHeight="1" s="7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 ht="12.75" customFormat="1" customHeight="1" s="7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 ht="12.75" customFormat="1" customHeight="1" s="7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 ht="12.75" customFormat="1" customHeight="1" s="7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 ht="12.75" customFormat="1" customHeight="1" s="7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 ht="12.75" customFormat="1" customHeight="1" s="7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 ht="12.75" customFormat="1" customHeight="1" s="7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 ht="12.75" customFormat="1" customHeight="1" s="7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 ht="12.75" customFormat="1" customHeight="1" s="7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 ht="12.75" customFormat="1" customHeight="1" s="7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 ht="12.75" customFormat="1" customHeight="1" s="7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 ht="12.75" customFormat="1" customHeight="1" s="7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 ht="12.75" customFormat="1" customHeight="1" s="7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 ht="12.75" customFormat="1" customHeight="1" s="7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 ht="12.75" customFormat="1" customHeight="1" s="7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 ht="12.75" customFormat="1" customHeight="1" s="7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 ht="12.75" customFormat="1" customHeight="1" s="7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 ht="12.75" customFormat="1" customHeight="1" s="7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 ht="12.75" customFormat="1" customHeight="1" s="7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 ht="12.75" customFormat="1" customHeight="1" s="7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 ht="12.75" customFormat="1" customHeight="1" s="7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 ht="12.75" customFormat="1" customHeight="1" s="7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 ht="12.75" customFormat="1" customHeight="1" s="7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 ht="12.75" customFormat="1" customHeight="1" s="7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 ht="12.75" customFormat="1" customHeight="1" s="7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 ht="12.75" customFormat="1" customHeight="1" s="7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 ht="12.75" customFormat="1" customHeight="1" s="7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 ht="12.75" customFormat="1" customHeight="1" s="7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 ht="12.75" customFormat="1" customHeight="1" s="7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 ht="12.75" customFormat="1" customHeight="1" s="7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 ht="12.75" customFormat="1" customHeight="1" s="7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 ht="12.75" customFormat="1" customHeight="1" s="7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 ht="12.75" customFormat="1" customHeight="1" s="7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 ht="12.75" customFormat="1" customHeight="1" s="7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 ht="12.75" customFormat="1" customHeight="1" s="7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 ht="12.75" customFormat="1" customHeight="1" s="7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 ht="12.75" customFormat="1" customHeight="1" s="7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 ht="12.75" customFormat="1" customHeight="1" s="7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2.75" customFormat="1" customHeight="1" s="7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2.75" customFormat="1" customHeight="1" s="7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2.75" customFormat="1" customHeight="1" s="7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2.75" customFormat="1" customHeight="1" s="7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2.75" customFormat="1" customHeight="1" s="7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2.75" customFormat="1" customHeight="1" s="7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2.75" customFormat="1" customHeight="1" s="7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2.75" customFormat="1" customHeight="1" s="7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2.75" customFormat="1" customHeight="1" s="7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2.75" customFormat="1" customHeight="1" s="7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2.75" customFormat="1" customHeight="1" s="7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2.75" customFormat="1" customHeight="1" s="7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2.75" customFormat="1" customHeight="1" s="7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2.75" customFormat="1" customHeight="1" s="7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2.75" customFormat="1" customHeight="1" s="7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2.75" customFormat="1" customHeight="1" s="7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2.75" customFormat="1" customHeight="1" s="7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2.75" customFormat="1" customHeight="1" s="7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2.75" customFormat="1" customHeight="1" s="7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2.75" customFormat="1" customHeight="1" s="7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2.75" customFormat="1" customHeight="1" s="7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2.75" customFormat="1" customHeight="1" s="7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2.75" customFormat="1" customHeight="1" s="7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2.75" customFormat="1" customHeight="1" s="7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2.75" customFormat="1" customHeight="1" s="7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2.75" customFormat="1" customHeight="1" s="7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2.75" customFormat="1" customHeight="1" s="7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2.75" customFormat="1" customHeight="1" s="7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2.75" customFormat="1" customHeight="1" s="7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2.75" customFormat="1" customHeight="1" s="7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2.75" customFormat="1" customHeight="1" s="7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2.75" customFormat="1" customHeight="1" s="7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2.75" customFormat="1" customHeight="1" s="7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2.75" customFormat="1" customHeight="1" s="7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2.75" customFormat="1" customHeight="1" s="7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2.75" customFormat="1" customHeight="1" s="7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2.75" customFormat="1" customHeight="1" s="7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2.75" customFormat="1" customHeight="1" s="7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2.75" customFormat="1" customHeight="1" s="7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2.75" customFormat="1" customHeight="1" s="7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2.75" customFormat="1" customHeight="1" s="7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2.75" customFormat="1" customHeight="1" s="7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2.75" customFormat="1" customHeight="1" s="7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2.75" customFormat="1" customHeight="1" s="7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2.75" customFormat="1" customHeight="1" s="7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2.75" customFormat="1" customHeight="1" s="7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2.75" customFormat="1" customHeight="1" s="7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2.75" customFormat="1" customHeight="1" s="7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2.75" customFormat="1" customHeight="1" s="7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2.75" customFormat="1" customHeight="1" s="7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2.75" customFormat="1" customHeight="1" s="7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2.75" customFormat="1" customHeight="1" s="7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2.75" customFormat="1" customHeight="1" s="7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2.75" customFormat="1" customHeight="1" s="7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2.75" customFormat="1" customHeight="1" s="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2.75" customFormat="1" customHeight="1" s="7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2.75" customFormat="1" customHeight="1" s="7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2.75" customFormat="1" customHeight="1" s="7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2.75" customFormat="1" customHeight="1" s="7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2.75" customFormat="1" customHeight="1" s="7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2.75" customFormat="1" customHeight="1" s="7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2.75" customFormat="1" customHeight="1" s="7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2.75" customFormat="1" customHeight="1" s="7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2.75" customFormat="1" customHeight="1" s="7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2.75" customFormat="1" customHeight="1" s="7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2.75" customFormat="1" customHeight="1" s="7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2.75" customFormat="1" customHeight="1" s="7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2.75" customFormat="1" customHeight="1" s="7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2.75" customFormat="1" customHeight="1" s="7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2.75" customFormat="1" customHeight="1" s="7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2.75" customFormat="1" customHeight="1" s="7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2.75" customFormat="1" customHeight="1" s="7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2.75" customFormat="1" customHeight="1" s="7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2.75" customFormat="1" customHeight="1" s="7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2.75" customFormat="1" customHeight="1" s="7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2.75" customFormat="1" customHeight="1" s="7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2.75" customFormat="1" customHeight="1" s="7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2.75" customFormat="1" customHeight="1" s="7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2.75" customFormat="1" customHeight="1" s="7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2.75" customFormat="1" customHeight="1" s="7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2.75" customFormat="1" customHeight="1" s="7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2.75" customFormat="1" customHeight="1" s="7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2.75" customFormat="1" customHeight="1" s="7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2.75" customFormat="1" customHeight="1" s="7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2.75" customFormat="1" customHeight="1" s="7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2.75" customFormat="1" customHeight="1" s="7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2.75" customFormat="1" customHeight="1" s="7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2.75" customFormat="1" customHeight="1" s="7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2.75" customFormat="1" customHeight="1" s="7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2.75" customFormat="1" customHeight="1" s="7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2.75" customFormat="1" customHeight="1" s="7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2.75" customFormat="1" customHeight="1" s="7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2.75" customFormat="1" customHeight="1" s="7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2.75" customFormat="1" customHeight="1" s="7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2.75" customFormat="1" customHeight="1" s="7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2.75" customFormat="1" customHeight="1" s="7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2.75" customFormat="1" customHeight="1" s="7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2.75" customFormat="1" customHeight="1" s="7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2.75" customFormat="1" customHeight="1" s="7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2.75" customFormat="1" customHeight="1" s="7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2.75" customFormat="1" customHeight="1" s="7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2.75" customFormat="1" customHeight="1" s="7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2.75" customFormat="1" customHeight="1" s="7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2.75" customFormat="1" customHeight="1" s="7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2.75" customFormat="1" customHeight="1" s="7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2.75" customFormat="1" customHeight="1" s="7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2.75" customFormat="1" customHeight="1" s="7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2.75" customFormat="1" customHeight="1" s="7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2.75" customFormat="1" customHeight="1" s="7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2.75" customFormat="1" customHeight="1" s="7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2.75" customFormat="1" customHeight="1" s="7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2.75" customFormat="1" customHeight="1" s="7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2.75" customFormat="1" customHeight="1" s="7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2.75" customFormat="1" customHeight="1" s="7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2.75" customFormat="1" customHeight="1" s="7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2.75" customFormat="1" customHeight="1" s="7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2.75" customFormat="1" customHeight="1" s="7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2.75" customFormat="1" customHeight="1" s="7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2.75" customFormat="1" customHeight="1" s="7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2.75" customFormat="1" customHeight="1" s="7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2.75" customFormat="1" customHeight="1" s="7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2.75" customFormat="1" customHeight="1" s="7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2.75" customFormat="1" customHeight="1" s="7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2.75" customFormat="1" customHeight="1" s="7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2.75" customFormat="1" customHeight="1" s="7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2.75" customFormat="1" customHeight="1" s="7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2.75" customFormat="1" customHeight="1" s="7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2.75" customFormat="1" customHeight="1" s="7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2.75" customFormat="1" customHeight="1" s="7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2.75" customFormat="1" customHeight="1" s="7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2.75" customFormat="1" customHeight="1" s="7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2.75" customFormat="1" customHeight="1" s="7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2.75" customFormat="1" customHeight="1" s="7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2.75" customFormat="1" customHeight="1" s="7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2.75" customFormat="1" customHeight="1" s="7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2.75" customFormat="1" customHeight="1" s="7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2.75" customFormat="1" customHeight="1" s="7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2.75" customFormat="1" customHeight="1" s="7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2.75" customFormat="1" customHeight="1" s="7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2.75" customFormat="1" customHeight="1" s="7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2.75" customFormat="1" customHeight="1" s="7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2.75" customFormat="1" customHeight="1" s="7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2.75" customFormat="1" customHeight="1" s="7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2.75" customFormat="1" customHeight="1" s="7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2.75" customFormat="1" customHeight="1" s="7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2.75" customFormat="1" customHeight="1" s="7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2.75" customFormat="1" customHeight="1" s="7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2.75" customFormat="1" customHeight="1" s="7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2.75" customFormat="1" customHeight="1" s="7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2.75" customFormat="1" customHeight="1" s="7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2.75" customFormat="1" customHeight="1" s="7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2.75" customFormat="1" customHeight="1" s="7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2.75" customFormat="1" customHeight="1" s="7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2.75" customFormat="1" customHeight="1" s="7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2.75" customFormat="1" customHeight="1" s="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2.75" customFormat="1" customHeight="1" s="7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2.75" customFormat="1" customHeight="1" s="7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2.75" customFormat="1" customHeight="1" s="7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2.75" customFormat="1" customHeight="1" s="7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2.75" customFormat="1" customHeight="1" s="7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2.75" customFormat="1" customHeight="1" s="7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2.75" customFormat="1" customHeight="1" s="7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2.75" customFormat="1" customHeight="1" s="7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2.75" customFormat="1" customHeight="1" s="7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2.75" customFormat="1" customHeight="1" s="7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2.75" customFormat="1" customHeight="1" s="7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2.75" customFormat="1" customHeight="1" s="7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2.75" customFormat="1" customHeight="1" s="7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2.75" customFormat="1" customHeight="1" s="7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2.75" customFormat="1" customHeight="1" s="7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2.75" customFormat="1" customHeight="1" s="7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2.75" customFormat="1" customHeight="1" s="7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2.75" customFormat="1" customHeight="1" s="7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2.75" customFormat="1" customHeight="1" s="7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2.75" customFormat="1" customHeight="1" s="7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2.75" customFormat="1" customHeight="1" s="7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2.75" customFormat="1" customHeight="1" s="7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2.75" customFormat="1" customHeight="1" s="7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2.75" customFormat="1" customHeight="1" s="7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2.75" customFormat="1" customHeight="1" s="7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2.75" customFormat="1" customHeight="1" s="7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2.75" customFormat="1" customHeight="1" s="7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2.75" customFormat="1" customHeight="1" s="7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2.75" customFormat="1" customHeight="1" s="7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2.75" customFormat="1" customHeight="1" s="7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2.75" customFormat="1" customHeight="1" s="7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2.75" customFormat="1" customHeight="1" s="7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2.75" customFormat="1" customHeight="1" s="7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2.75" customFormat="1" customHeight="1" s="7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2.75" customFormat="1" customHeight="1" s="7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2.75" customFormat="1" customHeight="1" s="7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2.75" customFormat="1" customHeight="1" s="7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2.75" customFormat="1" customHeight="1" s="7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2.75" customFormat="1" customHeight="1" s="7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2.75" customFormat="1" customHeight="1" s="7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2.75" customFormat="1" customHeight="1" s="7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2.75" customFormat="1" customHeight="1" s="7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2.75" customFormat="1" customHeight="1" s="7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2.75" customFormat="1" customHeight="1" s="7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2.75" customFormat="1" customHeight="1" s="7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2.75" customFormat="1" customHeight="1" s="7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2.75" customFormat="1" customHeight="1" s="7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2.75" customFormat="1" customHeight="1" s="7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2.75" customFormat="1" customHeight="1" s="7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2.75" customFormat="1" customHeight="1" s="7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2.75" customFormat="1" customHeight="1" s="7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2.75" customFormat="1" customHeight="1" s="7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2.75" customFormat="1" customHeight="1" s="7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2.75" customFormat="1" customHeight="1" s="7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2.75" customFormat="1" customHeight="1" s="7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2.75" customFormat="1" customHeight="1" s="7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2.75" customFormat="1" customHeight="1" s="7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2.75" customFormat="1" customHeight="1" s="7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2.75" customFormat="1" customHeight="1" s="7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2.75" customFormat="1" customHeight="1" s="7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2.75" customFormat="1" customHeight="1" s="7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2.75" customFormat="1" customHeight="1" s="7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2.75" customFormat="1" customHeight="1" s="7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2.75" customFormat="1" customHeight="1" s="7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2.75" customFormat="1" customHeight="1" s="7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2.75" customFormat="1" customHeight="1" s="7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2.75" customFormat="1" customHeight="1" s="7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2.75" customFormat="1" customHeight="1" s="7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2.75" customFormat="1" customHeight="1" s="7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2.75" customFormat="1" customHeight="1" s="7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2.75" customFormat="1" customHeight="1" s="7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2.75" customFormat="1" customHeight="1" s="7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2.75" customFormat="1" customHeight="1" s="7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2.75" customFormat="1" customHeight="1" s="7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2.75" customFormat="1" customHeight="1" s="7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2.75" customFormat="1" customHeight="1" s="7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2.75" customFormat="1" customHeight="1" s="7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2.75" customFormat="1" customHeight="1" s="7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2.75" customFormat="1" customHeight="1" s="7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2.75" customFormat="1" customHeight="1" s="7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2.75" customFormat="1" customHeight="1" s="7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2.75" customFormat="1" customHeight="1" s="7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2.75" customFormat="1" customHeight="1" s="7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2.75" customFormat="1" customHeight="1" s="7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2.75" customFormat="1" customHeight="1" s="7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2.75" customFormat="1" customHeight="1" s="7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2.75" customFormat="1" customHeight="1" s="7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2.75" customFormat="1" customHeight="1" s="7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2.75" customFormat="1" customHeight="1" s="7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2.75" customFormat="1" customHeight="1" s="7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2.75" customFormat="1" customHeight="1" s="7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2.75" customFormat="1" customHeight="1" s="7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2.75" customFormat="1" customHeight="1" s="7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2.75" customFormat="1" customHeight="1" s="7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2.75" customFormat="1" customHeight="1" s="7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2.75" customFormat="1" customHeight="1" s="7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2.75" customFormat="1" customHeight="1" s="7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2.75" customFormat="1" customHeight="1" s="7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2.75" customFormat="1" customHeight="1" s="7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2.75" customFormat="1" customHeight="1" s="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2.75" customFormat="1" customHeight="1" s="7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2.75" customFormat="1" customHeight="1" s="7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2.75" customFormat="1" customHeight="1" s="7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2.75" customFormat="1" customHeight="1" s="7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2.75" customFormat="1" customHeight="1" s="7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2.75" customFormat="1" customHeight="1" s="7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2.75" customFormat="1" customHeight="1" s="7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2.75" customFormat="1" customHeight="1" s="7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2.75" customFormat="1" customHeight="1" s="7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2.75" customFormat="1" customHeight="1" s="7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2.75" customFormat="1" customHeight="1" s="7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2.75" customFormat="1" customHeight="1" s="7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2.75" customFormat="1" customHeight="1" s="7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2.75" customFormat="1" customHeight="1" s="7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2.75" customFormat="1" customHeight="1" s="7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2.75" customFormat="1" customHeight="1" s="7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2.75" customFormat="1" customHeight="1" s="7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2.75" customFormat="1" customHeight="1" s="7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2.75" customFormat="1" customHeight="1" s="7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2.75" customFormat="1" customHeight="1" s="7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2.75" customFormat="1" customHeight="1" s="7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2.75" customFormat="1" customHeight="1" s="7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2.75" customFormat="1" customHeight="1" s="7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2.75" customFormat="1" customHeight="1" s="7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2.75" customFormat="1" customHeight="1" s="7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2.75" customFormat="1" customHeight="1" s="7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2.75" customFormat="1" customHeight="1" s="7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2.75" customFormat="1" customHeight="1" s="7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2.75" customFormat="1" customHeight="1" s="7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2.75" customFormat="1" customHeight="1" s="7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2.75" customFormat="1" customHeight="1" s="7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2.75" customFormat="1" customHeight="1" s="7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2.75" customFormat="1" customHeight="1" s="7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2.75" customFormat="1" customHeight="1" s="7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2.75" customFormat="1" customHeight="1" s="7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2.75" customFormat="1" customHeight="1" s="7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2.75" customFormat="1" customHeight="1" s="7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2.75" customFormat="1" customHeight="1" s="7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2.75" customFormat="1" customHeight="1" s="7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2.75" customFormat="1" customHeight="1" s="7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2.75" customFormat="1" customHeight="1" s="7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2.75" customFormat="1" customHeight="1" s="7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2.75" customFormat="1" customHeight="1" s="7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2.75" customFormat="1" customHeight="1" s="7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2.75" customFormat="1" customHeight="1" s="7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2.75" customFormat="1" customHeight="1" s="7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2.75" customFormat="1" customHeight="1" s="7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2.75" customFormat="1" customHeight="1" s="7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2.75" customFormat="1" customHeight="1" s="7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2.75" customFormat="1" customHeight="1" s="7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2.75" customFormat="1" customHeight="1" s="7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2.75" customFormat="1" customHeight="1" s="7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2.75" customFormat="1" customHeight="1" s="7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2.75" customFormat="1" customHeight="1" s="7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2.75" customFormat="1" customHeight="1" s="7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2.75" customFormat="1" customHeight="1" s="7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2.75" customFormat="1" customHeight="1" s="7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2.75" customFormat="1" customHeight="1" s="7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2.75" customFormat="1" customHeight="1" s="7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2.75" customFormat="1" customHeight="1" s="7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2.75" customFormat="1" customHeight="1" s="7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2.75" customFormat="1" customHeight="1" s="7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2.75" customFormat="1" customHeight="1" s="7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2.75" customFormat="1" customHeight="1" s="7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2.75" customFormat="1" customHeight="1" s="7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2.75" customFormat="1" customHeight="1" s="7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2.75" customFormat="1" customHeight="1" s="7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2.75" customFormat="1" customHeight="1" s="7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2.75" customFormat="1" customHeight="1" s="7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2.75" customFormat="1" customHeight="1" s="7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2.75" customFormat="1" customHeight="1" s="7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2.75" customFormat="1" customHeight="1" s="7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2.75" customFormat="1" customHeight="1" s="7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2.75" customFormat="1" customHeight="1" s="7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2.75" customFormat="1" customHeight="1" s="7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2.75" customFormat="1" customHeight="1" s="7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2.75" customFormat="1" customHeight="1" s="7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2.75" customFormat="1" customHeight="1" s="7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2.75" customFormat="1" customHeight="1" s="7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2.75" customFormat="1" customHeight="1" s="7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2.75" customFormat="1" customHeight="1" s="7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2.75" customFormat="1" customHeight="1" s="7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2.75" customFormat="1" customHeight="1" s="7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2.75" customFormat="1" customHeight="1" s="7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2.75" customFormat="1" customHeight="1" s="7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2.75" customFormat="1" customHeight="1" s="7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2.75" customFormat="1" customHeight="1" s="7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2.75" customFormat="1" customHeight="1" s="7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2.75" customFormat="1" customHeight="1" s="7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2.75" customFormat="1" customHeight="1" s="7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2.75" customFormat="1" customHeight="1" s="7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2.75" customFormat="1" customHeight="1" s="7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2.75" customFormat="1" customHeight="1" s="7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2.75" customFormat="1" customHeight="1" s="7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2.75" customFormat="1" customHeight="1" s="7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2.75" customFormat="1" customHeight="1" s="7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2.75" customFormat="1" customHeight="1" s="7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2.75" customFormat="1" customHeight="1" s="7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2.75" customFormat="1" customHeight="1" s="7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2.75" customFormat="1" customHeight="1" s="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2.75" customFormat="1" customHeight="1" s="7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2.75" customFormat="1" customHeight="1" s="7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2.75" customFormat="1" customHeight="1" s="7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2.75" customFormat="1" customHeight="1" s="7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2.75" customFormat="1" customHeight="1" s="7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2.75" customFormat="1" customHeight="1" s="7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2.75" customFormat="1" customHeight="1" s="7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2.75" customFormat="1" customHeight="1" s="7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2.75" customFormat="1" customHeight="1" s="7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2.75" customFormat="1" customHeight="1" s="7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2.75" customFormat="1" customHeight="1" s="7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2.75" customFormat="1" customHeight="1" s="7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2.75" customFormat="1" customHeight="1" s="7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2.75" customFormat="1" customHeight="1" s="7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2.75" customFormat="1" customHeight="1" s="7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2.75" customFormat="1" customHeight="1" s="7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2.75" customFormat="1" customHeight="1" s="7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2.75" customFormat="1" customHeight="1" s="7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2.75" customFormat="1" customHeight="1" s="7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2.75" customFormat="1" customHeight="1" s="7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2.75" customFormat="1" customHeight="1" s="7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2.75" customFormat="1" customHeight="1" s="7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2.75" customFormat="1" customHeight="1" s="7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2.75" customFormat="1" customHeight="1" s="7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2.75" customFormat="1" customHeight="1" s="7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2.75" customFormat="1" customHeight="1" s="7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2.75" customFormat="1" customHeight="1" s="7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2.75" customFormat="1" customHeight="1" s="7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2.75" customFormat="1" customHeight="1" s="7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2.75" customFormat="1" customHeight="1" s="7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2.75" customFormat="1" customHeight="1" s="7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2.75" customFormat="1" customHeight="1" s="7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2.75" customFormat="1" customHeight="1" s="7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2.75" customFormat="1" customHeight="1" s="7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2.75" customFormat="1" customHeight="1" s="7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2.75" customFormat="1" customHeight="1" s="7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2.75" customFormat="1" customHeight="1" s="7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2.75" customFormat="1" customHeight="1" s="7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2.75" customFormat="1" customHeight="1" s="7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2.75" customFormat="1" customHeight="1" s="7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2.75" customFormat="1" customHeight="1" s="7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2.75" customFormat="1" customHeight="1" s="7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2.75" customFormat="1" customHeight="1" s="7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2.75" customFormat="1" customHeight="1" s="7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2.75" customFormat="1" customHeight="1" s="7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2.75" customFormat="1" customHeight="1" s="7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2.75" customFormat="1" customHeight="1" s="7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2.75" customFormat="1" customHeight="1" s="7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2.75" customFormat="1" customHeight="1" s="7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2.75" customFormat="1" customHeight="1" s="7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2.75" customFormat="1" customHeight="1" s="7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2.75" customFormat="1" customHeight="1" s="7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2.75" customFormat="1" customHeight="1" s="7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2.75" customFormat="1" customHeight="1" s="7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2.75" customFormat="1" customHeight="1" s="7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2.75" customFormat="1" customHeight="1" s="7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2.75" customFormat="1" customHeight="1" s="7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2.75" customFormat="1" customHeight="1" s="7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2.75" customFormat="1" customHeight="1" s="7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2.75" customFormat="1" customHeight="1" s="7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2.75" customFormat="1" customHeight="1" s="7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2.75" customFormat="1" customHeight="1" s="7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2.75" customFormat="1" customHeight="1" s="7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2.75" customFormat="1" customHeight="1" s="7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2.75" customFormat="1" customHeight="1" s="7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2.75" customFormat="1" customHeight="1" s="7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2.75" customFormat="1" customHeight="1" s="7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2.75" customFormat="1" customHeight="1" s="7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2.75" customFormat="1" customHeight="1" s="7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2.75" customFormat="1" customHeight="1" s="7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2.75" customFormat="1" customHeight="1" s="7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2.75" customFormat="1" customHeight="1" s="7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2.75" customFormat="1" customHeight="1" s="7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2.75" customFormat="1" customHeight="1" s="7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2.75" customFormat="1" customHeight="1" s="7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2.75" customFormat="1" customHeight="1" s="7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2.75" customFormat="1" customHeight="1" s="7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2.75" customFormat="1" customHeight="1" s="7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2.75" customFormat="1" customHeight="1" s="7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2.75" customFormat="1" customHeight="1" s="7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2.75" customFormat="1" customHeight="1" s="7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2.75" customFormat="1" customHeight="1" s="7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2.75" customFormat="1" customHeight="1" s="7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2.75" customFormat="1" customHeight="1" s="7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2.75" customFormat="1" customHeight="1" s="7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2.75" customFormat="1" customHeight="1" s="7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2.75" customFormat="1" customHeight="1" s="7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2.75" customFormat="1" customHeight="1" s="7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2.75" customFormat="1" customHeight="1" s="7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2.75" customFormat="1" customHeight="1" s="7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2.75" customFormat="1" customHeight="1" s="7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2.75" customFormat="1" customHeight="1" s="7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2.75" customFormat="1" customHeight="1" s="7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2.75" customFormat="1" customHeight="1" s="7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2.75" customFormat="1" customHeight="1" s="7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2.75" customFormat="1" customHeight="1" s="7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2.75" customFormat="1" customHeight="1" s="7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2.75" customFormat="1" customHeight="1" s="7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2.75" customFormat="1" customHeight="1" s="7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2.75" customFormat="1" customHeight="1" s="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2.75" customFormat="1" customHeight="1" s="7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2.75" customFormat="1" customHeight="1" s="7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2.75" customFormat="1" customHeight="1" s="7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2.75" customFormat="1" customHeight="1" s="7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2.75" customFormat="1" customHeight="1" s="7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2.75" customFormat="1" customHeight="1" s="7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2.75" customFormat="1" customHeight="1" s="7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2.75" customFormat="1" customHeight="1" s="7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2.75" customFormat="1" customHeight="1" s="7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2.75" customFormat="1" customHeight="1" s="7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2.75" customFormat="1" customHeight="1" s="7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2.75" customFormat="1" customHeight="1" s="7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2.75" customFormat="1" customHeight="1" s="7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2.75" customFormat="1" customHeight="1" s="7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2.75" customFormat="1" customHeight="1" s="7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2.75" customFormat="1" customHeight="1" s="7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2.75" customFormat="1" customHeight="1" s="7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2.75" customFormat="1" customHeight="1" s="7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2.75" customFormat="1" customHeight="1" s="7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2.75" customFormat="1" customHeight="1" s="7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2.75" customFormat="1" customHeight="1" s="7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2.75" customFormat="1" customHeight="1" s="7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2.75" customFormat="1" customHeight="1" s="7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2.75" customFormat="1" customHeight="1" s="7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2.75" customFormat="1" customHeight="1" s="7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2.75" customFormat="1" customHeight="1" s="7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2.75" customFormat="1" customHeight="1" s="7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2.75" customFormat="1" customHeight="1" s="7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2.75" customFormat="1" customHeight="1" s="7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2.75" customFormat="1" customHeight="1" s="7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2.75" customFormat="1" customHeight="1" s="7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2.75" customFormat="1" customHeight="1" s="7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2.75" customFormat="1" customHeight="1" s="7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2.75" customFormat="1" customHeight="1" s="7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2.75" customFormat="1" customHeight="1" s="7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2.75" customFormat="1" customHeight="1" s="7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2.75" customFormat="1" customHeight="1" s="7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2.75" customFormat="1" customHeight="1" s="7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2.75" customFormat="1" customHeight="1" s="7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2.75" customFormat="1" customHeight="1" s="7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2.75" customFormat="1" customHeight="1" s="7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2.75" customFormat="1" customHeight="1" s="7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2.75" customFormat="1" customHeight="1" s="7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2.75" customFormat="1" customHeight="1" s="7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2.75" customFormat="1" customHeight="1" s="7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2.75" customFormat="1" customHeight="1" s="7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2.75" customFormat="1" customHeight="1" s="7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2.75" customFormat="1" customHeight="1" s="7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2.75" customFormat="1" customHeight="1" s="7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2.75" customFormat="1" customHeight="1" s="7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2.75" customFormat="1" customHeight="1" s="7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2.75" customFormat="1" customHeight="1" s="7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2.75" customFormat="1" customHeight="1" s="7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2.75" customFormat="1" customHeight="1" s="7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2.75" customFormat="1" customHeight="1" s="7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2.75" customFormat="1" customHeight="1" s="7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2.75" customFormat="1" customHeight="1" s="7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2.75" customFormat="1" customHeight="1" s="7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2.75" customFormat="1" customHeight="1" s="7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2.75" customFormat="1" customHeight="1" s="7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2.75" customFormat="1" customHeight="1" s="7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2.75" customFormat="1" customHeight="1" s="7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2.75" customFormat="1" customHeight="1" s="7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2.75" customFormat="1" customHeight="1" s="7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2.75" customFormat="1" customHeight="1" s="7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2.75" customFormat="1" customHeight="1" s="7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2.75" customFormat="1" customHeight="1" s="7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2.75" customFormat="1" customHeight="1" s="7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2.75" customFormat="1" customHeight="1" s="7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2.75" customFormat="1" customHeight="1" s="7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2.75" customFormat="1" customHeight="1" s="7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2.75" customFormat="1" customHeight="1" s="7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2.75" customFormat="1" customHeight="1" s="7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2.75" customFormat="1" customHeight="1" s="7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2.75" customFormat="1" customHeight="1" s="7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2.75" customFormat="1" customHeight="1" s="7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2.75" customFormat="1" customHeight="1" s="7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2.75" customFormat="1" customHeight="1" s="7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2.75" customFormat="1" customHeight="1" s="7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2.75" customFormat="1" customHeight="1" s="7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2.75" customFormat="1" customHeight="1" s="7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2.75" customFormat="1" customHeight="1" s="7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2.75" customFormat="1" customHeight="1" s="7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2.75" customFormat="1" customHeight="1" s="7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2.75" customFormat="1" customHeight="1" s="7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2.75" customFormat="1" customHeight="1" s="7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2.75" customFormat="1" customHeight="1" s="7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2.75" customFormat="1" customHeight="1" s="7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2.75" customFormat="1" customHeight="1" s="7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2.75" customFormat="1" customHeight="1" s="7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2.75" customFormat="1" customHeight="1" s="7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2.75" customFormat="1" customHeight="1" s="7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2.75" customFormat="1" customHeight="1" s="7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2.75" customFormat="1" customHeight="1" s="7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2.75" customFormat="1" customHeight="1" s="7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2.75" customFormat="1" customHeight="1" s="7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2.75" customFormat="1" customHeight="1" s="7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2.75" customFormat="1" customHeight="1" s="7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2.75" customFormat="1" customHeight="1" s="7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2.75" customFormat="1" customHeight="1" s="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2.75" customFormat="1" customHeight="1" s="7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2.75" customFormat="1" customHeight="1" s="7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2.75" customFormat="1" customHeight="1" s="7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2.75" customFormat="1" customHeight="1" s="7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2.75" customFormat="1" customHeight="1" s="7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2.75" customFormat="1" customHeight="1" s="7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2.75" customFormat="1" customHeight="1" s="7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2.75" customFormat="1" customHeight="1" s="7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2.75" customFormat="1" customHeight="1" s="7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2.75" customFormat="1" customHeight="1" s="7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2.75" customFormat="1" customHeight="1" s="7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2.75" customFormat="1" customHeight="1" s="7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2.75" customFormat="1" customHeight="1" s="7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2.75" customFormat="1" customHeight="1" s="7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2.75" customFormat="1" customHeight="1" s="7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2.75" customFormat="1" customHeight="1" s="7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2.75" customFormat="1" customHeight="1" s="7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2.75" customFormat="1" customHeight="1" s="7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2.75" customFormat="1" customHeight="1" s="7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2.75" customFormat="1" customHeight="1" s="7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2.75" customFormat="1" customHeight="1" s="7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2.75" customFormat="1" customHeight="1" s="7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2.75" customFormat="1" customHeight="1" s="7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2.75" customFormat="1" customHeight="1" s="7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2.75" customFormat="1" customHeight="1" s="7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2.75" customFormat="1" customHeight="1" s="7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2.75" customFormat="1" customHeight="1" s="7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2.75" customFormat="1" customHeight="1" s="7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2.75" customFormat="1" customHeight="1" s="7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2.75" customFormat="1" customHeight="1" s="7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2.75" customFormat="1" customHeight="1" s="7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2.75" customFormat="1" customHeight="1" s="7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2.75" customFormat="1" customHeight="1" s="7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2.75" customFormat="1" customHeight="1" s="7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2.75" customFormat="1" customHeight="1" s="7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2.75" customFormat="1" customHeight="1" s="7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2.75" customFormat="1" customHeight="1" s="7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2.75" customFormat="1" customHeight="1" s="7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2.75" customFormat="1" customHeight="1" s="7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2.75" customFormat="1" customHeight="1" s="7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2.75" customFormat="1" customHeight="1" s="7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2.75" customFormat="1" customHeight="1" s="7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2.75" customFormat="1" customHeight="1" s="7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2.75" customFormat="1" customHeight="1" s="7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2.75" customFormat="1" customHeight="1" s="7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2.75" customFormat="1" customHeight="1" s="7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2.75" customFormat="1" customHeight="1" s="7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2.75" customFormat="1" customHeight="1" s="7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2.75" customFormat="1" customHeight="1" s="7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2.75" customFormat="1" customHeight="1" s="7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2.75" customFormat="1" customHeight="1" s="7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2.75" customFormat="1" customHeight="1" s="7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2.75" customFormat="1" customHeight="1" s="7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2.75" customFormat="1" customHeight="1" s="7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2.75" customFormat="1" customHeight="1" s="7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2.75" customFormat="1" customHeight="1" s="7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2.75" customFormat="1" customHeight="1" s="7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2.75" customFormat="1" customHeight="1" s="7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2.75" customFormat="1" customHeight="1" s="7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2.75" customFormat="1" customHeight="1" s="7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2.75" customFormat="1" customHeight="1" s="7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2.75" customFormat="1" customHeight="1" s="7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2.75" customFormat="1" customHeight="1" s="7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2.75" customFormat="1" customHeight="1" s="7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2.75" customFormat="1" customHeight="1" s="7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2.75" customFormat="1" customHeight="1" s="7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2.75" customFormat="1" customHeight="1" s="7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2.75" customFormat="1" customHeight="1" s="7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2.75" customFormat="1" customHeight="1" s="7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2.75" customFormat="1" customHeight="1" s="7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2.75" customFormat="1" customHeight="1" s="7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2.75" customFormat="1" customHeight="1" s="7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2.75" customFormat="1" customHeight="1" s="7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2.75" customFormat="1" customHeight="1" s="7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2.75" customFormat="1" customHeight="1" s="7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2.75" customFormat="1" customHeight="1" s="7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2.75" customFormat="1" customHeight="1" s="7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2.75" customFormat="1" customHeight="1" s="7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2.75" customFormat="1" customHeight="1" s="7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2.75" customFormat="1" customHeight="1" s="7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2.75" customFormat="1" customHeight="1" s="7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2.75" customFormat="1" customHeight="1" s="7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2.75" customFormat="1" customHeight="1" s="7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2.75" customFormat="1" customHeight="1" s="7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2.75" customFormat="1" customHeight="1" s="7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2.75" customFormat="1" customHeight="1" s="7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2.75" customFormat="1" customHeight="1" s="7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2.75" customFormat="1" customHeight="1" s="7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2.75" customFormat="1" customHeight="1" s="7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2.75" customFormat="1" customHeight="1" s="7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2.75" customFormat="1" customHeight="1" s="7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2.75" customFormat="1" customHeight="1" s="7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2.75" customFormat="1" customHeight="1" s="7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2.75" customFormat="1" customHeight="1" s="7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2.75" customFormat="1" customHeight="1" s="7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2.75" customFormat="1" customHeight="1" s="7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2.75" customFormat="1" customHeight="1" s="7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2.75" customFormat="1" customHeight="1" s="7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2.75" customFormat="1" customHeight="1" s="7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2.75" customFormat="1" customHeight="1" s="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2.75" customFormat="1" customHeight="1" s="7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2.75" customFormat="1" customHeight="1" s="7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2.75" customFormat="1" customHeight="1" s="7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2.75" customFormat="1" customHeight="1" s="7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2.75" customFormat="1" customHeight="1" s="7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2.75" customFormat="1" customHeight="1" s="7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2.75" customFormat="1" customHeight="1" s="7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2.75" customFormat="1" customHeight="1" s="7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2.75" customFormat="1" customHeight="1" s="7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2.75" customFormat="1" customHeight="1" s="7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2.75" customFormat="1" customHeight="1" s="7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2.75" customFormat="1" customHeight="1" s="7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2.75" customFormat="1" customHeight="1" s="7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2.75" customFormat="1" customHeight="1" s="7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2.75" customFormat="1" customHeight="1" s="7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2.75" customFormat="1" customHeight="1" s="7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2.75" customFormat="1" customHeight="1" s="7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2.75" customFormat="1" customHeight="1" s="7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2.75" customFormat="1" customHeight="1" s="7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2.75" customFormat="1" customHeight="1" s="7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2.75" customFormat="1" customHeight="1" s="7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2.75" customFormat="1" customHeight="1" s="7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2.75" customFormat="1" customHeight="1" s="7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2.75" customFormat="1" customHeight="1" s="7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2.75" customFormat="1" customHeight="1" s="7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2.75" customFormat="1" customHeight="1" s="7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2.75" customFormat="1" customHeight="1" s="7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2.75" customFormat="1" customHeight="1" s="7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2.75" customFormat="1" customHeight="1" s="7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2.75" customFormat="1" customHeight="1" s="7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2.75" customFormat="1" customHeight="1" s="7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2.75" customFormat="1" customHeight="1" s="7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2.75" customFormat="1" customHeight="1" s="7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2.75" customFormat="1" customHeight="1" s="7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2.75" customFormat="1" customHeight="1" s="7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2.75" customFormat="1" customHeight="1" s="7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2.75" customFormat="1" customHeight="1" s="7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2.75" customFormat="1" customHeight="1" s="7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2.75" customFormat="1" customHeight="1" s="7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2.75" customFormat="1" customHeight="1" s="7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2.75" customFormat="1" customHeight="1" s="7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2.75" customFormat="1" customHeight="1" s="7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2.75" customFormat="1" customHeight="1" s="7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2.75" customFormat="1" customHeight="1" s="7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2.75" customFormat="1" customHeight="1" s="7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2.75" customFormat="1" customHeight="1" s="7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2.75" customFormat="1" customHeight="1" s="7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2.75" customFormat="1" customHeight="1" s="7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2.75" customFormat="1" customHeight="1" s="7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2.75" customFormat="1" customHeight="1" s="7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2.75" customFormat="1" customHeight="1" s="7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2.75" customFormat="1" customHeight="1" s="7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2.75" customFormat="1" customHeight="1" s="7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2.75" customFormat="1" customHeight="1" s="7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2.75" customFormat="1" customHeight="1" s="7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2.75" customFormat="1" customHeight="1" s="7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2.75" customFormat="1" customHeight="1" s="7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2.75" customFormat="1" customHeight="1" s="7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2.75" customFormat="1" customHeight="1" s="7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2.75" customFormat="1" customHeight="1" s="7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2.75" customFormat="1" customHeight="1" s="7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2.75" customFormat="1" customHeight="1" s="7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2.75" customFormat="1" customHeight="1" s="7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2.75" customFormat="1" customHeight="1" s="7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2.75" customFormat="1" customHeight="1" s="7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2.75" customFormat="1" customHeight="1" s="7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2.75" customFormat="1" customHeight="1" s="7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2.75" customFormat="1" customHeight="1" s="7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2.75" customFormat="1" customHeight="1" s="7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2.75" customFormat="1" customHeight="1" s="7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2.75" customFormat="1" customHeight="1" s="7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2.75" customFormat="1" customHeight="1" s="7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2.75" customFormat="1" customHeight="1" s="7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2.75" customFormat="1" customHeight="1" s="7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2.75" customFormat="1" customHeight="1" s="7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2.75" customFormat="1" customHeight="1" s="7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2.75" customFormat="1" customHeight="1" s="7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2.75" customFormat="1" customHeight="1" s="7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2.75" customFormat="1" customHeight="1" s="7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2.75" customFormat="1" customHeight="1" s="7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2.75" customFormat="1" customHeight="1" s="7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2.75" customFormat="1" customHeight="1" s="7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2.75" customFormat="1" customHeight="1" s="7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2.75" customFormat="1" customHeight="1" s="7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2.75" customFormat="1" customHeight="1" s="7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2.75" customFormat="1" customHeight="1" s="7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2.75" customFormat="1" customHeight="1" s="7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2.75" customFormat="1" customHeight="1" s="7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2.75" customFormat="1" customHeight="1" s="7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2.75" customFormat="1" customHeight="1" s="7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2.75" customFormat="1" customHeight="1" s="7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2.75" customFormat="1" customHeight="1" s="7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2.75" customFormat="1" customHeight="1" s="7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2.75" customFormat="1" customHeight="1" s="7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2.75" customFormat="1" customHeight="1" s="7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2.75" customFormat="1" customHeight="1" s="7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2.75" customFormat="1" customHeight="1" s="7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2.75" customFormat="1" customHeight="1" s="7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2.75" customFormat="1" customHeight="1" s="7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2.75" customFormat="1" customHeight="1" s="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2.75" customFormat="1" customHeight="1" s="7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2.75" customFormat="1" customHeight="1" s="7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2.75" customFormat="1" customHeight="1" s="7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2.75" customFormat="1" customHeight="1" s="7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2.75" customFormat="1" customHeight="1" s="7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2.75" customFormat="1" customHeight="1" s="7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2.75" customFormat="1" customHeight="1" s="7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2.75" customFormat="1" customHeight="1" s="7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2.75" customFormat="1" customHeight="1" s="7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2.75" customFormat="1" customHeight="1" s="7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2.75" customFormat="1" customHeight="1" s="7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2.75" customFormat="1" customHeight="1" s="7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2.75" customFormat="1" customHeight="1" s="7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2.75" customFormat="1" customHeight="1" s="7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2.75" customFormat="1" customHeight="1" s="7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2.75" customFormat="1" customHeight="1" s="7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2.75" customFormat="1" customHeight="1" s="7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2.75" customFormat="1" customHeight="1" s="7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2.75" customFormat="1" customHeight="1" s="7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2.75" customFormat="1" customHeight="1" s="7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2.75" customFormat="1" customHeight="1" s="7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2.75" customFormat="1" customHeight="1" s="7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2.75" customFormat="1" customHeight="1" s="7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2.75" customFormat="1" customHeight="1" s="7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2578125" defaultRowHeight="12.75"/>
  <cols>
    <col width="12.5703125" customWidth="1" style="76" min="1" max="6"/>
  </cols>
  <sheetData>
    <row r="1" ht="15.75" customFormat="1" customHeight="1" s="76">
      <c r="A1" s="6" t="inlineStr">
        <is>
          <t>Ты — сильный сценарист и редактор текстов для голосовой озвучки. Пиши как профессиональный автор, который умеет держать цельное повествование, ритм речи и естественную интонацию живого рассказа.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5.75" customFormat="1" customHeight="1" s="76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15.75" customFormat="1" customHeight="1" s="76">
      <c r="A3" s="6" t="inlineStr">
        <is>
          <t>Твоя задача: на основе истории из листа «Общий план» создать цельный, последовательный, естественный текст для озвучки ролика. Текст должен звучать как непрерывный рассказ, а не как набор заготовок, фрагментов или отдельных блоков.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.75" customFormat="1" customHeight="1" s="76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15.75" customFormat="1" customHeight="1" s="76">
      <c r="A5" s="6" t="inlineStr">
        <is>
          <t>КЛЮЧЕВОЙ ПРИНЦИП: Сначала создай цельный рассказ целиком, как единое повествование. Только после этого раздели его на ячейки. Разделение на ячейки — технический этап, оно не должно разрушать плавность, связность и ощущение единого рассказа.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15.75" customFormat="1" customHeight="1" s="7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 ht="15.75" customFormat="1" customHeight="1" s="76">
      <c r="A7" s="6" t="inlineStr">
        <is>
          <t>ИСХОДНЫЕ УСЛОВИЯ: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 ht="15.75" customFormat="1" customHeight="1" s="76">
      <c r="A8" s="2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 ht="15.75" customFormat="1" customHeight="1" s="76">
      <c r="A9" s="23" t="inlineStr">
        <is>
          <t>1. История берется только из листа «Общий план».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 ht="15.75" customFormat="1" customHeight="1" s="76">
      <c r="A10" s="23" t="inlineStr">
        <is>
          <t>2. Общий объем текста: 10000–10500 символов с пробелами.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 ht="15.75" customFormat="1" customHeight="1" s="76">
      <c r="A11" s="23" t="inlineStr">
        <is>
          <t>3. Количество ячеек не ограничено.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 ht="15.75" customFormat="1" customHeight="1" s="76">
      <c r="A12" s="23" t="inlineStr">
        <is>
          <t>4. Каждая ячейка должна содержать 110–140 символов с пробелами.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 ht="15.75" customFormat="1" customHeight="1" s="76">
      <c r="A13" s="23" t="inlineStr">
        <is>
          <t>5. Каждая ячейка должна заканчиваться на естественной речевой паузе.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 ht="15.75" customFormat="1" customHeight="1" s="76">
      <c r="A14" s="23" t="inlineStr">
        <is>
          <t>6. По возможности ячейка должна завершаться целым предложением, но главнее сохранить естественность и цельность рассказа.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 ht="15.75" customFormat="1" customHeight="1" s="76">
      <c r="A15" s="23" t="inlineStr">
        <is>
          <t>7. Все соседние ячейки обязаны читаться слитно, без ощущения склейки или обрыва.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 ht="15.75" customFormat="1" customHeight="1" s="76">
      <c r="A16" s="23" t="inlineStr">
        <is>
          <t>8. Итоговый текст должен быть пригоден для живой дикторской озвучки без дополнительной переработки.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 ht="15.75" customFormat="1" customHeight="1" s="76">
      <c r="A17" s="23" t="inlineStr">
        <is>
          <t>9. Запись начинается строго с колонки C строки 40 листа «план».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 ht="15.75" customFormat="1" customHeight="1" s="76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 ht="15.75" customFormat="1" customHeight="1" s="76">
      <c r="A19" s="6" t="inlineStr">
        <is>
          <t>ПРАВИЛО ПЕРЕНОСА ПРЕДЛОЖЕНИЙ МЕЖДУ ЯЧЕЙКАМИ: Предложение может быть разрезано и перенесено в следующую ячейку — но только один раз подряд. То есть: если предложение начато в ячейке N и закончено в ячейке N+1 — следующая ячейка N+2 обязана начинаться с нового предложения. Запрещено переносить части одного предложения через три и более ячеек подряд. Запрещено строить несколько ячеек подряд так, чтобы каждая из них была продолжением предыдущей незаконченной фразы. Правило: перенос — только через одну границу, после чего обязательно завершение мысли.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 ht="15.75" customFormat="1" customHeight="1" s="76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 ht="15.75" customFormat="1" customHeight="1" s="76">
      <c r="A21" s="6" t="inlineStr">
        <is>
          <t>ГЛАВНЫЕ ТРЕБОВАНИЯ К ТЕКСТУ: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 ht="15.75" customFormat="1" customHeight="1" s="76">
      <c r="A22" s="2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 ht="15.75" customFormat="1" customHeight="1" s="76">
      <c r="A23" s="23" t="inlineStr">
        <is>
          <t>текст должен звучать как цельный рассказ;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15.75" customFormat="1" customHeight="1" s="76">
      <c r="A24" s="23" t="inlineStr">
        <is>
          <t>повествование должно идти последовательно, без скачков и рваного монтажа;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15.75" customFormat="1" customHeight="1" s="76">
      <c r="A25" s="23" t="inlineStr">
        <is>
          <t>каждая мысль должна естественно вытекать из предыдущей;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15.75" customFormat="1" customHeight="1" s="76">
      <c r="A26" s="23" t="inlineStr">
        <is>
          <t>интонация должна быть живой, уверенной и человеческой;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 ht="15.75" customFormat="1" customHeight="1" s="76">
      <c r="A27" s="23" t="inlineStr">
        <is>
          <t>текст должен легко читаться вслух;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 ht="15.75" customFormat="1" customHeight="1" s="76">
      <c r="A28" s="23" t="inlineStr">
        <is>
          <t>нельзя писать сухо, рублено, схематично или канцелярски;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 ht="15.75" customFormat="1" customHeight="1" s="76">
      <c r="A29" s="23" t="inlineStr">
        <is>
          <t>нельзя превращать текст в набор "эффектных" обрывков;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 ht="15.75" customFormat="1" customHeight="1" s="76">
      <c r="A30" s="23" t="inlineStr">
        <is>
          <t>нельзя писать так, чтобы каждая ячейка ощущалась отдельным мини-абзацем.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 ht="15.75" customFormat="1" customHeight="1" s="76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 ht="15.75" customFormat="1" customHeight="1" s="76">
      <c r="A32" s="6" t="inlineStr">
        <is>
          <t>СТИЛЬ: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 ht="15.75" customFormat="1" customHeight="1" s="76">
      <c r="A33" s="2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 ht="15.75" customFormat="1" customHeight="1" s="76">
      <c r="A34" s="23" t="inlineStr">
        <is>
          <t>естественный;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15.75" customFormat="1" customHeight="1" s="76">
      <c r="A35" s="23" t="inlineStr">
        <is>
          <t>плотный, но не тяжеловесный;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 ht="15.75" customFormat="1" customHeight="1" s="76">
      <c r="A36" s="23" t="inlineStr">
        <is>
          <t>литературный, но не вычурный;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 ht="15.75" customFormat="1" customHeight="1" s="76">
      <c r="A37" s="23" t="inlineStr">
        <is>
          <t>разговорно-повествовательный, но не просторечный;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 ht="15.75" customFormat="1" customHeight="1" s="76">
      <c r="A38" s="23" t="inlineStr">
        <is>
          <t>без пафоса, без картонной драматизации, без дешевой "интриги ради интриги";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5.75" customFormat="1" customHeight="1" s="76">
      <c r="A39" s="23" t="inlineStr">
        <is>
          <t>как у опытного автора документального, сюжетного или авторского ролика.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 ht="15.75" customFormat="1" customHeight="1" s="76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 ht="15.75" customFormat="1" customHeight="1" s="76">
      <c r="A41" s="6" t="inlineStr">
        <is>
          <t>ЧЕГО НЕЛЬЗЯ ДЕЛАТЬ: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 ht="15.75" customFormat="1" customHeight="1" s="76">
      <c r="A42" s="2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 ht="15.75" customFormat="1" customHeight="1" s="76">
      <c r="A43" s="23" t="inlineStr">
        <is>
          <t>1. Не пиши "типичным ИИ-стилем".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 ht="15.75" customFormat="1" customHeight="1" s="76">
      <c r="A44" s="23" t="inlineStr">
        <is>
          <t>2. Не используй постоянные противопоставления через: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 ht="15.75" customFormat="1" customHeight="1" s="76">
      <c r="A45" s="23" t="inlineStr">
        <is>
          <t>«а»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15.75" customFormat="1" customHeight="1" s="76">
      <c r="A46" s="23" t="inlineStr">
        <is>
          <t>«но»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15.75" customFormat="1" customHeight="1" s="76">
      <c r="A47" s="23" t="inlineStr">
        <is>
          <t>«однако»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15.75" customFormat="1" customHeight="1" s="76">
      <c r="A48" s="23" t="inlineStr">
        <is>
          <t>«не..., а...»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15.75" customFormat="1" customHeight="1" s="76">
      <c r="A49" s="23" t="inlineStr">
        <is>
          <t>«не просто..., а...»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 ht="15.75" customFormat="1" customHeight="1" s="76">
      <c r="A50" s="23" t="inlineStr">
        <is>
          <t>«казалось..., но...»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 ht="15.75" customFormat="1" customHeight="1" s="76">
      <c r="A51" s="23" t="inlineStr">
        <is>
          <t>«сначала..., потом...» если без них можно построить фразу естественнее.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15.75" customFormat="1" customHeight="1" s="76">
      <c r="A52" s="23" t="inlineStr">
        <is>
          <t>3. Не строй текст на бесконечных контрастах, ложной драме и искусственных поворотах.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15.75" customFormat="1" customHeight="1" s="76">
      <c r="A53" s="23" t="inlineStr">
        <is>
          <t>4. Не делай рубленые короткие фразы ради "напряжения".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15.75" customFormat="1" customHeight="1" s="76">
      <c r="A54" s="23" t="inlineStr">
        <is>
          <t>5. Не делай каждую ячейку самостоятельным смысловым островком.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15.75" customFormat="1" customHeight="1" s="76">
      <c r="A55" s="23" t="inlineStr">
        <is>
          <t>6. Не используй заезженные формулы: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15.75" customFormat="1" customHeight="1" s="76">
      <c r="A56" s="23" t="inlineStr">
        <is>
          <t>«всё изменилось в один момент»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15.75" customFormat="1" customHeight="1" s="76">
      <c r="A57" s="23" t="inlineStr">
        <is>
          <t>«никто не мог представить»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15.75" customFormat="1" customHeight="1" s="76">
      <c r="A58" s="23" t="inlineStr">
        <is>
          <t>«казалось, что»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15.75" customFormat="1" customHeight="1" s="76">
      <c r="A59" s="23" t="inlineStr">
        <is>
          <t>«но реальность оказалась иной»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15.75" customFormat="1" customHeight="1" s="76">
      <c r="A60" s="23" t="inlineStr">
        <is>
          <t>«именно тогда»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15.75" customFormat="1" customHeight="1" s="76">
      <c r="A61" s="23" t="inlineStr">
        <is>
          <t>«это стало поворотной точкой»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15.75" customFormat="1" customHeight="1" s="76">
      <c r="A62" s="23" t="inlineStr">
        <is>
          <t>«история на этом не закончилась»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15.75" customFormat="1" customHeight="1" s="76">
      <c r="A63" s="23" t="inlineStr">
        <is>
          <t>«всё было не так просто» и другие типичные шаблоны ИИ-озвучки.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15.75" customFormat="1" customHeight="1" s="76">
      <c r="A64" s="23" t="inlineStr">
        <is>
          <t>7. Не повторяй одинаковые синтаксические конструкции в соседних ячейках.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15.75" customFormat="1" customHeight="1" s="76">
      <c r="A65" s="23" t="inlineStr">
        <is>
          <t>8. Не пиши "объясняющим" тоном, будто пересказываешь план.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15.75" customFormat="1" customHeight="1" s="76">
      <c r="A66" s="23" t="inlineStr">
        <is>
          <t>9. Не добавляй фактов, которых нет в исходной истории, кроме минимально необходимых связок для плавности.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15.75" customFormat="1" customHeight="1" s="76">
      <c r="A67" s="23" t="inlineStr">
        <is>
          <t>10. Не используй риторические вопросы, если они не оправданы тоном истории.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15.75" customFormat="1" customHeight="1" s="76">
      <c r="A68" s="23" t="inlineStr">
        <is>
          <t>11. Не начинай подряд несколько предложений одинаково.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15.75" customFormat="1" customHeight="1" s="76">
      <c r="A69" s="23" t="inlineStr">
        <is>
          <t>12. Не делай текст нарезанным, клиповым, телеграфным или схематичным.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15.75" customFormat="1" customHeight="1" s="76">
      <c r="A70" s="23" t="inlineStr">
        <is>
          <t>13. Не используй тире как инструмент уточнения или пояснения внутри фразы там, где это создаёт канцелярский или журналистский привкус. Примеры запрещённых конструкций: «поддерживал с ней отношения — и эта связь сама по себе говорит о весе её слова», «это была одна задача», «а не уход от мира в мечтания». Такие вставки режут ритм и звучат как редакторские пометки, а не живая речь.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15.75" customFormat="1" customHeight="1" s="76">
      <c r="A71" s="23" t="inlineStr">
        <is>
          <t>14. Не строй фразы по схеме «X легко воспринять как Y — но на самом деле Z». Это типичная ИИ-конструкция противопоставления через уточнение. Вместо этого просто опиши X так, как он есть, без предварительного ложного допущения.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15.75" customFormat="1" customHeight="1" s="76">
      <c r="A72" s="23" t="inlineStr">
        <is>
          <t>15. Не используй конструкцию «тот, кто... — тот...» или «тот, кто учился X, учился заодно и Y». Это схематичная структура, которая звучит как тезис, а не рассказ.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15.75" customFormat="1" customHeight="1" s="76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15.75" customFormat="1" customHeight="1" s="76">
      <c r="A74" s="6" t="inlineStr">
        <is>
          <t>КАК ИМЕННО НУЖНО РАБОТАТЬ: Этап 1. Изучи историю из листа «Общий план» и пойми её внутреннюю логику. Этап 2. Выстрой скрытый каркас повествования: завязка, развитие, ключевые события, развязка. Этап 3. Напиши цельный текст как непрерывный рассказ, вообще не думая пока о ячейках. Этап 4. Отредактируй текст так, чтобы он звучал как написанный человеком: плавно, уверенно, без шаблонов и без "GPT-интонации". Этап 5. Только после полной литературной сборки раздели текст на ячейки по 110–140 символов. Этап 6. При делении не ломай ритм, синтаксис и естественное течение рассказа. Этап 7. Проверь правило переноса: ни одно предложение не должно быть разбито более чем на две ячейки подряд. Этап 8. Проверь итог целиком вслух мысленно: он должен звучать как единое аудиоповествование.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15.75" customFormat="1" customHeight="1" s="76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15.75" customFormat="1" customHeight="1" s="76">
      <c r="A76" s="6" t="inlineStr">
        <is>
          <t>ПРАВИЛА ЕСТЕСТВЕННОЙ ОЗВУЧКИ: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 ht="15.75" customFormat="1" customHeight="1" s="76">
      <c r="A77" s="2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 ht="15.75" customFormat="1" customHeight="1" s="76">
      <c r="A78" s="23" t="inlineStr">
        <is>
          <t>каждая фраза должна быть удобна для произнесения;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 ht="15.75" customFormat="1" customHeight="1" s="76">
      <c r="A79" s="23" t="inlineStr">
        <is>
          <t>переходы должны быть мягкими;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 ht="15.75" customFormat="1" customHeight="1" s="76">
      <c r="A80" s="23" t="inlineStr">
        <is>
          <t>текст должен "течь", а не дергаться;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 ht="15.75" customFormat="1" customHeight="1" s="76">
      <c r="A81" s="23" t="inlineStr">
        <is>
          <t>в соседних ячейках должна чувствоваться инерция одной и той же мысли;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 ht="15.75" customFormat="1" customHeight="1" s="76">
      <c r="A82" s="23" t="inlineStr">
        <is>
          <t>допускается спокойная смена темпа, но без резких провалов;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 ht="15.75" customFormat="1" customHeight="1" s="76">
      <c r="A83" s="23" t="inlineStr">
        <is>
          <t>если фраза выглядит написанной нейросетью, перепиши её;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 ht="15.75" customFormat="1" customHeight="1" s="76">
      <c r="A84" s="23" t="inlineStr">
        <is>
          <t>если кусок звучит как набор тезисов, перепиши его в живой рассказ;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 ht="15.75" customFormat="1" customHeight="1" s="76">
      <c r="A85" s="23" t="inlineStr">
        <is>
          <t>если между ячейками чувствуется шов, перепиши обе ячейки.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 ht="15.75" customFormat="1" customHeight="1" s="7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 ht="15.75" customFormat="1" customHeight="1" s="76">
      <c r="A87" s="6" t="inlineStr">
        <is>
          <t>ОБЯЗАТЕЛЬНАЯ ВНУТРЕННЯЯ САМООЦЕНКА ПЕРЕД ВЫДАЧЕЙ: Проверь текст по каждому пункту. Если хотя бы один пункт не выполнен, перепиши проблемные места до полного соответствия.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 ht="15.75" customFormat="1" customHeight="1" s="76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 ht="15.75" customFormat="1" customHeight="1" s="76">
      <c r="A89" s="6" t="inlineStr">
        <is>
          <t>ЧЕК-ЛИСТ КАЧЕСТВА: [ ] История взята только из листа «Общий план». [ ] Текст ощущается как единый рассказ, а не как набор кусочков. [ ] Повествование последовательное и связное от начала до конца. [ ] Между соседними ячейками нет ощущения склейки, провала или искусственного перехода. [ ] Каждая ячейка содержит 110–140 символов с пробелами. [ ] Общий объем текста 10000–10500 символов с пробелами. [ ] Текст легко читается вслух. [ ] В тексте нет штампов, канцелярита и типичных ИИ-оборотов. [ ] Нет навязчивых противопоставлений через «а», «но», «однако». [ ] Нет эффекта "обрывков" или "отдельных заготовок". [ ] Нет монотонных повторов синтаксиса. [ ] Нет фраз, которые выглядят как машинная стилизация под драму. [ ] Ни одно предложение не разбито более чем на две ячейки подряд. [ ] Нет тире-уточнений и схематичных конструкций с противопоставлением через пояснение. [ ] Итог можно сразу отдавать диктору.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 ht="15.75" customFormat="1" customHeight="1" s="76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 ht="15.75" customFormat="1" customHeight="1" s="76">
      <c r="A91" s="6" t="inlineStr">
        <is>
          <t>ДОПОЛНИТЕЛЬНЫЙ ФИЛЬТР ПРОТИВ GPT-СТИЛЯ: Перед финальной выдачей отдельно проверь: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 ht="15.75" customFormat="1" customHeight="1" s="76">
      <c r="A92" s="2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 ht="15.75" customFormat="1" customHeight="1" s="76">
      <c r="A93" s="23" t="inlineStr">
        <is>
          <t>нет ли слишком частого союза «а» в роли противопоставления;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 ht="15.75" customFormat="1" customHeight="1" s="76">
      <c r="A94" s="23" t="inlineStr">
        <is>
          <t>нет ли в соседних предложениях одинаковой структуры;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 ht="15.75" customFormat="1" customHeight="1" s="76">
      <c r="A95" s="23" t="inlineStr">
        <is>
          <t>нет ли дешевых драматических связок;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 ht="15.75" customFormat="1" customHeight="1" s="76">
      <c r="A96" s="23" t="inlineStr">
        <is>
          <t>нет ли ощущения, что текст "собран из карточек";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 ht="15.75" customFormat="1" customHeight="1" s="76">
      <c r="A97" s="23" t="inlineStr">
        <is>
          <t>нет ли мест, где ячейка закончилась только потому, что нужно уложиться в лимит, а не потому что это естественная пауза;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 ht="15.75" customFormat="1" customHeight="1" s="76">
      <c r="A98" s="23" t="inlineStr">
        <is>
          <t>нет ли фраз, которые хочется переписать в более спокойную, взрослую и точную форму;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 ht="15.75" customFormat="1" customHeight="1" s="76">
      <c r="A99" s="23" t="inlineStr">
        <is>
          <t>нет ли конструкций «X — это Y» в роли определения посреди рассказа: они останавливают повествование и звучат как словарная статья;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 ht="15.75" customFormat="1" customHeight="1" s="76">
      <c r="A100" s="23" t="inlineStr">
        <is>
          <t>нет ли тире, которое вставлено для уточнения или пояснения там, где живая речь обошлась бы без него.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 ht="12.75" customFormat="1" customHeight="1" s="76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 ht="12.75" customFormat="1" customHeight="1" s="76">
      <c r="A102" s="6" t="inlineStr">
        <is>
          <t>Если находишь такие места — переписывай до тех пор, пока текст не начнёт звучать как цельный, взрослый, профессионально написанный рассказ.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 ht="12.75" customFormat="1" customHeight="1" s="76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 ht="12.75" customFormat="1" customHeight="1" s="76">
      <c r="A104" s="6" t="inlineStr">
        <is>
          <t>ФОРМАТ ВЫДАЧИ: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 ht="12.75" customFormat="1" customHeight="1" s="76">
      <c r="A105" s="2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 ht="12.75" customFormat="1" customHeight="1" s="76">
      <c r="A106" s="23" t="inlineStr">
        <is>
          <t>выводи только готовый текст;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 ht="12.75" customFormat="1" customHeight="1" s="76">
      <c r="A107" s="23" t="inlineStr">
        <is>
          <t>одна ячейка = одна строка;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 ht="12.75" customFormat="1" customHeight="1" s="76">
      <c r="A108" s="23" t="inlineStr">
        <is>
          <t>никаких пояснений, комментариев, подзаголовков и анализа;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 ht="12.75" customFormat="1" customHeight="1" s="76">
      <c r="A109" s="23" t="inlineStr">
        <is>
          <t>в конце отдельной строкой напиши: ИТОГО: [количество ячеек] ячеек, [общее количество символов] символов.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 ht="12.75" customFormat="1" customHeight="1" s="76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 ht="12.75" customFormat="1" customHeight="1" s="76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 ht="12.75" customFormat="1" customHeight="1" s="76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 ht="12.75" customFormat="1" customHeight="1" s="76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 ht="12.75" customFormat="1" customHeight="1" s="76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 ht="12.75" customFormat="1" customHeight="1" s="76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 ht="12.75" customFormat="1" customHeight="1" s="7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 ht="12.75" customFormat="1" customHeight="1" s="76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 ht="12.75" customFormat="1" customHeight="1" s="7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 ht="12.75" customFormat="1" customHeight="1" s="76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 ht="12.75" customFormat="1" customHeight="1" s="76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 ht="12.75" customFormat="1" customHeight="1" s="7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 ht="12.75" customFormat="1" customHeight="1" s="7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 ht="12.75" customFormat="1" customHeight="1" s="76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 ht="12.75" customFormat="1" customHeight="1" s="76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 ht="12.75" customFormat="1" customHeight="1" s="7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 ht="12.75" customFormat="1" customHeight="1" s="7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 ht="12.75" customFormat="1" customHeight="1" s="7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 ht="12.75" customFormat="1" customHeight="1" s="7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 ht="12.75" customFormat="1" customHeight="1" s="7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 ht="12.75" customFormat="1" customHeight="1" s="7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 ht="12.75" customFormat="1" customHeight="1" s="7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 ht="12.75" customFormat="1" customHeight="1" s="7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 ht="12.75" customFormat="1" customHeight="1" s="7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 ht="12.75" customFormat="1" customHeight="1" s="7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 ht="12.75" customFormat="1" customHeight="1" s="7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 ht="12.75" customFormat="1" customHeight="1" s="7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 ht="12.75" customFormat="1" customHeight="1" s="7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 ht="12.75" customFormat="1" customHeight="1" s="7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 ht="12.75" customFormat="1" customHeight="1" s="7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 ht="12.75" customFormat="1" customHeight="1" s="7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 ht="12.75" customFormat="1" customHeight="1" s="7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 ht="12.75" customFormat="1" customHeight="1" s="7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 ht="12.75" customFormat="1" customHeight="1" s="7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 ht="12.75" customFormat="1" customHeight="1" s="7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 ht="12.75" customFormat="1" customHeight="1" s="7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 ht="12.75" customFormat="1" customHeight="1" s="7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 ht="12.75" customFormat="1" customHeight="1" s="7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 ht="12.75" customFormat="1" customHeight="1" s="7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 ht="12.75" customFormat="1" customHeight="1" s="7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 ht="12.75" customFormat="1" customHeight="1" s="7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 ht="12.75" customFormat="1" customHeight="1" s="7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 ht="12.75" customFormat="1" customHeight="1" s="7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 ht="12.75" customFormat="1" customHeight="1" s="7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 ht="12.75" customFormat="1" customHeight="1" s="7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 ht="12.75" customFormat="1" customHeight="1" s="7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 ht="12.75" customFormat="1" customHeight="1" s="7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 ht="12.75" customFormat="1" customHeight="1" s="7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 ht="12.75" customFormat="1" customHeight="1" s="7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 ht="12.75" customFormat="1" customHeight="1" s="7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 ht="12.75" customFormat="1" customHeight="1" s="7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 ht="12.75" customFormat="1" customHeight="1" s="7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 ht="12.75" customFormat="1" customHeight="1" s="7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 ht="12.75" customFormat="1" customHeight="1" s="7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 ht="12.75" customFormat="1" customHeight="1" s="7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 ht="12.75" customFormat="1" customHeight="1" s="7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 ht="12.75" customFormat="1" customHeight="1" s="7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 ht="12.75" customFormat="1" customHeight="1" s="7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 ht="12.75" customFormat="1" customHeight="1" s="7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 ht="12.75" customFormat="1" customHeight="1" s="7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 ht="12.75" customFormat="1" customHeight="1" s="7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 ht="12.75" customFormat="1" customHeight="1" s="7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 ht="12.75" customFormat="1" customHeight="1" s="7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 ht="12.75" customFormat="1" customHeight="1" s="7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 ht="12.75" customFormat="1" customHeight="1" s="7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 ht="12.75" customFormat="1" customHeight="1" s="7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 ht="12.75" customFormat="1" customHeight="1" s="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 ht="12.75" customFormat="1" customHeight="1" s="7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 ht="12.75" customFormat="1" customHeight="1" s="7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 ht="12.75" customFormat="1" customHeight="1" s="7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 ht="12.75" customFormat="1" customHeight="1" s="7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 ht="12.75" customFormat="1" customHeight="1" s="7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 ht="12.75" customFormat="1" customHeight="1" s="7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 ht="12.75" customFormat="1" customHeight="1" s="7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 ht="12.75" customFormat="1" customHeight="1" s="7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 ht="12.75" customFormat="1" customHeight="1" s="7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 ht="12.75" customFormat="1" customHeight="1" s="7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 ht="12.75" customFormat="1" customHeight="1" s="7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 ht="12.75" customFormat="1" customHeight="1" s="7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 ht="12.75" customFormat="1" customHeight="1" s="7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 ht="12.75" customFormat="1" customHeight="1" s="7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 ht="12.75" customFormat="1" customHeight="1" s="7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 ht="12.75" customFormat="1" customHeight="1" s="7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 ht="12.75" customFormat="1" customHeight="1" s="7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 ht="12.75" customFormat="1" customHeight="1" s="7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 ht="12.75" customFormat="1" customHeight="1" s="7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 ht="12.75" customFormat="1" customHeight="1" s="7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 ht="12.75" customFormat="1" customHeight="1" s="7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 ht="12.75" customFormat="1" customHeight="1" s="7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 ht="12.75" customFormat="1" customHeight="1" s="7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 ht="12.75" customFormat="1" customHeight="1" s="7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 ht="12.75" customFormat="1" customHeight="1" s="7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 ht="12.75" customFormat="1" customHeight="1" s="7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 ht="12.75" customFormat="1" customHeight="1" s="7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 ht="12.75" customFormat="1" customHeight="1" s="7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 ht="12.75" customFormat="1" customHeight="1" s="7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 ht="12.75" customFormat="1" customHeight="1" s="7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 ht="12.75" customFormat="1" customHeight="1" s="7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 ht="12.75" customFormat="1" customHeight="1" s="7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 ht="12.75" customFormat="1" customHeight="1" s="7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 ht="12.75" customFormat="1" customHeight="1" s="7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 ht="12.75" customFormat="1" customHeight="1" s="7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 ht="12.75" customFormat="1" customHeight="1" s="7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 ht="12.75" customFormat="1" customHeight="1" s="7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 ht="12.75" customFormat="1" customHeight="1" s="7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 ht="12.75" customFormat="1" customHeight="1" s="7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 ht="12.75" customFormat="1" customHeight="1" s="7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 ht="12.75" customFormat="1" customHeight="1" s="7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 ht="12.75" customFormat="1" customHeight="1" s="7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 ht="12.75" customFormat="1" customHeight="1" s="7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 ht="12.75" customFormat="1" customHeight="1" s="7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 ht="12.75" customFormat="1" customHeight="1" s="7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2.75" customFormat="1" customHeight="1" s="7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2.75" customFormat="1" customHeight="1" s="7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2.75" customFormat="1" customHeight="1" s="7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2.75" customFormat="1" customHeight="1" s="7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2.75" customFormat="1" customHeight="1" s="7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2.75" customFormat="1" customHeight="1" s="7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2.75" customFormat="1" customHeight="1" s="7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2.75" customFormat="1" customHeight="1" s="7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2.75" customFormat="1" customHeight="1" s="7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2.75" customFormat="1" customHeight="1" s="7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2.75" customFormat="1" customHeight="1" s="7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2.75" customFormat="1" customHeight="1" s="7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2.75" customFormat="1" customHeight="1" s="7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2.75" customFormat="1" customHeight="1" s="7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2.75" customFormat="1" customHeight="1" s="7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2.75" customFormat="1" customHeight="1" s="7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2.75" customFormat="1" customHeight="1" s="7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2.75" customFormat="1" customHeight="1" s="7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2.75" customFormat="1" customHeight="1" s="7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2.75" customFormat="1" customHeight="1" s="7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2.75" customFormat="1" customHeight="1" s="7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2.75" customFormat="1" customHeight="1" s="7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2.75" customFormat="1" customHeight="1" s="7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2.75" customFormat="1" customHeight="1" s="7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2.75" customFormat="1" customHeight="1" s="7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2.75" customFormat="1" customHeight="1" s="7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2.75" customFormat="1" customHeight="1" s="7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2.75" customFormat="1" customHeight="1" s="7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2.75" customFormat="1" customHeight="1" s="7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2.75" customFormat="1" customHeight="1" s="7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2.75" customFormat="1" customHeight="1" s="7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2.75" customFormat="1" customHeight="1" s="7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2.75" customFormat="1" customHeight="1" s="7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2.75" customFormat="1" customHeight="1" s="7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2.75" customFormat="1" customHeight="1" s="7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2.75" customFormat="1" customHeight="1" s="7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2.75" customFormat="1" customHeight="1" s="7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2.75" customFormat="1" customHeight="1" s="7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2.75" customFormat="1" customHeight="1" s="7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2.75" customFormat="1" customHeight="1" s="7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2.75" customFormat="1" customHeight="1" s="7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2.75" customFormat="1" customHeight="1" s="7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2.75" customFormat="1" customHeight="1" s="7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2.75" customFormat="1" customHeight="1" s="7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2.75" customFormat="1" customHeight="1" s="7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2.75" customFormat="1" customHeight="1" s="7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2.75" customFormat="1" customHeight="1" s="7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2.75" customFormat="1" customHeight="1" s="7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2.75" customFormat="1" customHeight="1" s="7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2.75" customFormat="1" customHeight="1" s="7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2.75" customFormat="1" customHeight="1" s="7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2.75" customFormat="1" customHeight="1" s="7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2.75" customFormat="1" customHeight="1" s="7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2.75" customFormat="1" customHeight="1" s="7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2.75" customFormat="1" customHeight="1" s="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2.75" customFormat="1" customHeight="1" s="7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2.75" customFormat="1" customHeight="1" s="7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2.75" customFormat="1" customHeight="1" s="7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2.75" customFormat="1" customHeight="1" s="7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2.75" customFormat="1" customHeight="1" s="7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2.75" customFormat="1" customHeight="1" s="7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2.75" customFormat="1" customHeight="1" s="7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2.75" customFormat="1" customHeight="1" s="7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2.75" customFormat="1" customHeight="1" s="7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2.75" customFormat="1" customHeight="1" s="7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2.75" customFormat="1" customHeight="1" s="7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2.75" customFormat="1" customHeight="1" s="7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2.75" customFormat="1" customHeight="1" s="7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2.75" customFormat="1" customHeight="1" s="7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2.75" customFormat="1" customHeight="1" s="7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2.75" customFormat="1" customHeight="1" s="7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2.75" customFormat="1" customHeight="1" s="7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2.75" customFormat="1" customHeight="1" s="7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2.75" customFormat="1" customHeight="1" s="7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2.75" customFormat="1" customHeight="1" s="7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2.75" customFormat="1" customHeight="1" s="7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2.75" customFormat="1" customHeight="1" s="7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2.75" customFormat="1" customHeight="1" s="7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2.75" customFormat="1" customHeight="1" s="7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2.75" customFormat="1" customHeight="1" s="7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2.75" customFormat="1" customHeight="1" s="7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2.75" customFormat="1" customHeight="1" s="7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2.75" customFormat="1" customHeight="1" s="7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2.75" customFormat="1" customHeight="1" s="7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2.75" customFormat="1" customHeight="1" s="7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2.75" customFormat="1" customHeight="1" s="7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2.75" customFormat="1" customHeight="1" s="7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2.75" customFormat="1" customHeight="1" s="7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2.75" customFormat="1" customHeight="1" s="7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2.75" customFormat="1" customHeight="1" s="7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2.75" customFormat="1" customHeight="1" s="7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2.75" customFormat="1" customHeight="1" s="7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2.75" customFormat="1" customHeight="1" s="7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2.75" customFormat="1" customHeight="1" s="7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2.75" customFormat="1" customHeight="1" s="7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2.75" customFormat="1" customHeight="1" s="7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2.75" customFormat="1" customHeight="1" s="7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2.75" customFormat="1" customHeight="1" s="7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2.75" customFormat="1" customHeight="1" s="7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2.75" customFormat="1" customHeight="1" s="7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2.75" customFormat="1" customHeight="1" s="7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2.75" customFormat="1" customHeight="1" s="7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2.75" customFormat="1" customHeight="1" s="7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2.75" customFormat="1" customHeight="1" s="7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2.75" customFormat="1" customHeight="1" s="7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2.75" customFormat="1" customHeight="1" s="7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2.75" customFormat="1" customHeight="1" s="7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2.75" customFormat="1" customHeight="1" s="7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2.75" customFormat="1" customHeight="1" s="7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2.75" customFormat="1" customHeight="1" s="7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2.75" customFormat="1" customHeight="1" s="7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2.75" customFormat="1" customHeight="1" s="7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2.75" customFormat="1" customHeight="1" s="7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2.75" customFormat="1" customHeight="1" s="7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2.75" customFormat="1" customHeight="1" s="7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2.75" customFormat="1" customHeight="1" s="7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2.75" customFormat="1" customHeight="1" s="7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2.75" customFormat="1" customHeight="1" s="7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2.75" customFormat="1" customHeight="1" s="7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2.75" customFormat="1" customHeight="1" s="7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2.75" customFormat="1" customHeight="1" s="7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2.75" customFormat="1" customHeight="1" s="7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2.75" customFormat="1" customHeight="1" s="7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2.75" customFormat="1" customHeight="1" s="7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2.75" customFormat="1" customHeight="1" s="7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2.75" customFormat="1" customHeight="1" s="7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2.75" customFormat="1" customHeight="1" s="7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2.75" customFormat="1" customHeight="1" s="7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2.75" customFormat="1" customHeight="1" s="7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2.75" customFormat="1" customHeight="1" s="7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2.75" customFormat="1" customHeight="1" s="7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2.75" customFormat="1" customHeight="1" s="7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2.75" customFormat="1" customHeight="1" s="7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2.75" customFormat="1" customHeight="1" s="7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2.75" customFormat="1" customHeight="1" s="7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2.75" customFormat="1" customHeight="1" s="7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2.75" customFormat="1" customHeight="1" s="7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2.75" customFormat="1" customHeight="1" s="7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2.75" customFormat="1" customHeight="1" s="7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2.75" customFormat="1" customHeight="1" s="7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2.75" customFormat="1" customHeight="1" s="7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2.75" customFormat="1" customHeight="1" s="7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2.75" customFormat="1" customHeight="1" s="7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2.75" customFormat="1" customHeight="1" s="7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2.75" customFormat="1" customHeight="1" s="7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2.75" customFormat="1" customHeight="1" s="7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2.75" customFormat="1" customHeight="1" s="7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2.75" customFormat="1" customHeight="1" s="7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2.75" customFormat="1" customHeight="1" s="7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2.75" customFormat="1" customHeight="1" s="7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2.75" customFormat="1" customHeight="1" s="7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2.75" customFormat="1" customHeight="1" s="7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2.75" customFormat="1" customHeight="1" s="7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2.75" customFormat="1" customHeight="1" s="7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2.75" customFormat="1" customHeight="1" s="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2.75" customFormat="1" customHeight="1" s="7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2.75" customFormat="1" customHeight="1" s="7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2.75" customFormat="1" customHeight="1" s="7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2.75" customFormat="1" customHeight="1" s="7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2.75" customFormat="1" customHeight="1" s="7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2.75" customFormat="1" customHeight="1" s="7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2.75" customFormat="1" customHeight="1" s="7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2.75" customFormat="1" customHeight="1" s="7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2.75" customFormat="1" customHeight="1" s="7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2.75" customFormat="1" customHeight="1" s="7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2.75" customFormat="1" customHeight="1" s="7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2.75" customFormat="1" customHeight="1" s="7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2.75" customFormat="1" customHeight="1" s="7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2.75" customFormat="1" customHeight="1" s="7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2.75" customFormat="1" customHeight="1" s="7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2.75" customFormat="1" customHeight="1" s="7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2.75" customFormat="1" customHeight="1" s="7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2.75" customFormat="1" customHeight="1" s="7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2.75" customFormat="1" customHeight="1" s="7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2.75" customFormat="1" customHeight="1" s="7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2.75" customFormat="1" customHeight="1" s="7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2.75" customFormat="1" customHeight="1" s="7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2.75" customFormat="1" customHeight="1" s="7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2.75" customFormat="1" customHeight="1" s="7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2.75" customFormat="1" customHeight="1" s="7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2.75" customFormat="1" customHeight="1" s="7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2.75" customFormat="1" customHeight="1" s="7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2.75" customFormat="1" customHeight="1" s="7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2.75" customFormat="1" customHeight="1" s="7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2.75" customFormat="1" customHeight="1" s="7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2.75" customFormat="1" customHeight="1" s="7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2.75" customFormat="1" customHeight="1" s="7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2.75" customFormat="1" customHeight="1" s="7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2.75" customFormat="1" customHeight="1" s="7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2.75" customFormat="1" customHeight="1" s="7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2.75" customFormat="1" customHeight="1" s="7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2.75" customFormat="1" customHeight="1" s="7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2.75" customFormat="1" customHeight="1" s="7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2.75" customFormat="1" customHeight="1" s="7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2.75" customFormat="1" customHeight="1" s="7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2.75" customFormat="1" customHeight="1" s="7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2.75" customFormat="1" customHeight="1" s="7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2.75" customFormat="1" customHeight="1" s="7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2.75" customFormat="1" customHeight="1" s="7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2.75" customFormat="1" customHeight="1" s="7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2.75" customFormat="1" customHeight="1" s="7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2.75" customFormat="1" customHeight="1" s="7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2.75" customFormat="1" customHeight="1" s="7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2.75" customFormat="1" customHeight="1" s="7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2.75" customFormat="1" customHeight="1" s="7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2.75" customFormat="1" customHeight="1" s="7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2.75" customFormat="1" customHeight="1" s="7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2.75" customFormat="1" customHeight="1" s="7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2.75" customFormat="1" customHeight="1" s="7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2.75" customFormat="1" customHeight="1" s="7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2.75" customFormat="1" customHeight="1" s="7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2.75" customFormat="1" customHeight="1" s="7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2.75" customFormat="1" customHeight="1" s="7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2.75" customFormat="1" customHeight="1" s="7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2.75" customFormat="1" customHeight="1" s="7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2.75" customFormat="1" customHeight="1" s="7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2.75" customFormat="1" customHeight="1" s="7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2.75" customFormat="1" customHeight="1" s="7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2.75" customFormat="1" customHeight="1" s="7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2.75" customFormat="1" customHeight="1" s="7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2.75" customFormat="1" customHeight="1" s="7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2.75" customFormat="1" customHeight="1" s="7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2.75" customFormat="1" customHeight="1" s="7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2.75" customFormat="1" customHeight="1" s="7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2.75" customFormat="1" customHeight="1" s="7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2.75" customFormat="1" customHeight="1" s="7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2.75" customFormat="1" customHeight="1" s="7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2.75" customFormat="1" customHeight="1" s="7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2.75" customFormat="1" customHeight="1" s="7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2.75" customFormat="1" customHeight="1" s="7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2.75" customFormat="1" customHeight="1" s="7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2.75" customFormat="1" customHeight="1" s="7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2.75" customFormat="1" customHeight="1" s="7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2.75" customFormat="1" customHeight="1" s="7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2.75" customFormat="1" customHeight="1" s="7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2.75" customFormat="1" customHeight="1" s="7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2.75" customFormat="1" customHeight="1" s="7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2.75" customFormat="1" customHeight="1" s="7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2.75" customFormat="1" customHeight="1" s="7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2.75" customFormat="1" customHeight="1" s="7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2.75" customFormat="1" customHeight="1" s="7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2.75" customFormat="1" customHeight="1" s="7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2.75" customFormat="1" customHeight="1" s="7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2.75" customFormat="1" customHeight="1" s="7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2.75" customFormat="1" customHeight="1" s="7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2.75" customFormat="1" customHeight="1" s="7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2.75" customFormat="1" customHeight="1" s="7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2.75" customFormat="1" customHeight="1" s="7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2.75" customFormat="1" customHeight="1" s="7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2.75" customFormat="1" customHeight="1" s="7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2.75" customFormat="1" customHeight="1" s="7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2.75" customFormat="1" customHeight="1" s="7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2.75" customFormat="1" customHeight="1" s="7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2.75" customFormat="1" customHeight="1" s="7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2.75" customFormat="1" customHeight="1" s="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2.75" customFormat="1" customHeight="1" s="7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2.75" customFormat="1" customHeight="1" s="7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2.75" customFormat="1" customHeight="1" s="7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2.75" customFormat="1" customHeight="1" s="7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2.75" customFormat="1" customHeight="1" s="7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2.75" customFormat="1" customHeight="1" s="7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2.75" customFormat="1" customHeight="1" s="7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2.75" customFormat="1" customHeight="1" s="7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2.75" customFormat="1" customHeight="1" s="7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2.75" customFormat="1" customHeight="1" s="7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2.75" customFormat="1" customHeight="1" s="7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2.75" customFormat="1" customHeight="1" s="7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2.75" customFormat="1" customHeight="1" s="7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2.75" customFormat="1" customHeight="1" s="7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2.75" customFormat="1" customHeight="1" s="7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2.75" customFormat="1" customHeight="1" s="7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2.75" customFormat="1" customHeight="1" s="7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2.75" customFormat="1" customHeight="1" s="7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2.75" customFormat="1" customHeight="1" s="7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2.75" customFormat="1" customHeight="1" s="7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2.75" customFormat="1" customHeight="1" s="7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2.75" customFormat="1" customHeight="1" s="7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2.75" customFormat="1" customHeight="1" s="7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2.75" customFormat="1" customHeight="1" s="7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2.75" customFormat="1" customHeight="1" s="7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2.75" customFormat="1" customHeight="1" s="7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2.75" customFormat="1" customHeight="1" s="7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2.75" customFormat="1" customHeight="1" s="7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2.75" customFormat="1" customHeight="1" s="7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2.75" customFormat="1" customHeight="1" s="7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2.75" customFormat="1" customHeight="1" s="7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2.75" customFormat="1" customHeight="1" s="7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2.75" customFormat="1" customHeight="1" s="7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2.75" customFormat="1" customHeight="1" s="7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2.75" customFormat="1" customHeight="1" s="7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2.75" customFormat="1" customHeight="1" s="7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2.75" customFormat="1" customHeight="1" s="7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2.75" customFormat="1" customHeight="1" s="7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2.75" customFormat="1" customHeight="1" s="7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2.75" customFormat="1" customHeight="1" s="7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2.75" customFormat="1" customHeight="1" s="7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2.75" customFormat="1" customHeight="1" s="7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2.75" customFormat="1" customHeight="1" s="7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2.75" customFormat="1" customHeight="1" s="7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2.75" customFormat="1" customHeight="1" s="7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2.75" customFormat="1" customHeight="1" s="7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2.75" customFormat="1" customHeight="1" s="7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2.75" customFormat="1" customHeight="1" s="7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2.75" customFormat="1" customHeight="1" s="7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2.75" customFormat="1" customHeight="1" s="7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2.75" customFormat="1" customHeight="1" s="7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2.75" customFormat="1" customHeight="1" s="7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2.75" customFormat="1" customHeight="1" s="7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2.75" customFormat="1" customHeight="1" s="7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2.75" customFormat="1" customHeight="1" s="7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2.75" customFormat="1" customHeight="1" s="7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2.75" customFormat="1" customHeight="1" s="7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2.75" customFormat="1" customHeight="1" s="7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2.75" customFormat="1" customHeight="1" s="7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2.75" customFormat="1" customHeight="1" s="7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2.75" customFormat="1" customHeight="1" s="7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2.75" customFormat="1" customHeight="1" s="7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2.75" customFormat="1" customHeight="1" s="7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2.75" customFormat="1" customHeight="1" s="7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2.75" customFormat="1" customHeight="1" s="7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2.75" customFormat="1" customHeight="1" s="7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2.75" customFormat="1" customHeight="1" s="7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2.75" customFormat="1" customHeight="1" s="7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2.75" customFormat="1" customHeight="1" s="7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2.75" customFormat="1" customHeight="1" s="7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2.75" customFormat="1" customHeight="1" s="7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2.75" customFormat="1" customHeight="1" s="7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2.75" customFormat="1" customHeight="1" s="7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2.75" customFormat="1" customHeight="1" s="7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2.75" customFormat="1" customHeight="1" s="7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2.75" customFormat="1" customHeight="1" s="7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2.75" customFormat="1" customHeight="1" s="7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2.75" customFormat="1" customHeight="1" s="7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2.75" customFormat="1" customHeight="1" s="7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2.75" customFormat="1" customHeight="1" s="7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2.75" customFormat="1" customHeight="1" s="7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2.75" customFormat="1" customHeight="1" s="7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2.75" customFormat="1" customHeight="1" s="7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2.75" customFormat="1" customHeight="1" s="7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2.75" customFormat="1" customHeight="1" s="7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2.75" customFormat="1" customHeight="1" s="7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2.75" customFormat="1" customHeight="1" s="7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2.75" customFormat="1" customHeight="1" s="7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2.75" customFormat="1" customHeight="1" s="7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2.75" customFormat="1" customHeight="1" s="7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2.75" customFormat="1" customHeight="1" s="7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2.75" customFormat="1" customHeight="1" s="7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2.75" customFormat="1" customHeight="1" s="7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2.75" customFormat="1" customHeight="1" s="7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2.75" customFormat="1" customHeight="1" s="7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2.75" customFormat="1" customHeight="1" s="7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2.75" customFormat="1" customHeight="1" s="7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2.75" customFormat="1" customHeight="1" s="7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2.75" customFormat="1" customHeight="1" s="7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2.75" customFormat="1" customHeight="1" s="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2.75" customFormat="1" customHeight="1" s="7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2.75" customFormat="1" customHeight="1" s="7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2.75" customFormat="1" customHeight="1" s="7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2.75" customFormat="1" customHeight="1" s="7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2.75" customFormat="1" customHeight="1" s="7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2.75" customFormat="1" customHeight="1" s="7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2.75" customFormat="1" customHeight="1" s="7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2.75" customFormat="1" customHeight="1" s="7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2.75" customFormat="1" customHeight="1" s="7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2.75" customFormat="1" customHeight="1" s="7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2.75" customFormat="1" customHeight="1" s="7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2.75" customFormat="1" customHeight="1" s="7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2.75" customFormat="1" customHeight="1" s="7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2.75" customFormat="1" customHeight="1" s="7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2.75" customFormat="1" customHeight="1" s="7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2.75" customFormat="1" customHeight="1" s="7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2.75" customFormat="1" customHeight="1" s="7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2.75" customFormat="1" customHeight="1" s="7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2.75" customFormat="1" customHeight="1" s="7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2.75" customFormat="1" customHeight="1" s="7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2.75" customFormat="1" customHeight="1" s="7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2.75" customFormat="1" customHeight="1" s="7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2.75" customFormat="1" customHeight="1" s="7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2.75" customFormat="1" customHeight="1" s="7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2.75" customFormat="1" customHeight="1" s="7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2.75" customFormat="1" customHeight="1" s="7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2.75" customFormat="1" customHeight="1" s="7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2.75" customFormat="1" customHeight="1" s="7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2.75" customFormat="1" customHeight="1" s="7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2.75" customFormat="1" customHeight="1" s="7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2.75" customFormat="1" customHeight="1" s="7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2.75" customFormat="1" customHeight="1" s="7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2.75" customFormat="1" customHeight="1" s="7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2.75" customFormat="1" customHeight="1" s="7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2.75" customFormat="1" customHeight="1" s="7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2.75" customFormat="1" customHeight="1" s="7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2.75" customFormat="1" customHeight="1" s="7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2.75" customFormat="1" customHeight="1" s="7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2.75" customFormat="1" customHeight="1" s="7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2.75" customFormat="1" customHeight="1" s="7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2.75" customFormat="1" customHeight="1" s="7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2.75" customFormat="1" customHeight="1" s="7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2.75" customFormat="1" customHeight="1" s="7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2.75" customFormat="1" customHeight="1" s="7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2.75" customFormat="1" customHeight="1" s="7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2.75" customFormat="1" customHeight="1" s="7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2.75" customFormat="1" customHeight="1" s="7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2.75" customFormat="1" customHeight="1" s="7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2.75" customFormat="1" customHeight="1" s="7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2.75" customFormat="1" customHeight="1" s="7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2.75" customFormat="1" customHeight="1" s="7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2.75" customFormat="1" customHeight="1" s="7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2.75" customFormat="1" customHeight="1" s="7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2.75" customFormat="1" customHeight="1" s="7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2.75" customFormat="1" customHeight="1" s="7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2.75" customFormat="1" customHeight="1" s="7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2.75" customFormat="1" customHeight="1" s="7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2.75" customFormat="1" customHeight="1" s="7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2.75" customFormat="1" customHeight="1" s="7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2.75" customFormat="1" customHeight="1" s="7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2.75" customFormat="1" customHeight="1" s="7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2.75" customFormat="1" customHeight="1" s="7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2.75" customFormat="1" customHeight="1" s="7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2.75" customFormat="1" customHeight="1" s="7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2.75" customFormat="1" customHeight="1" s="7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2.75" customFormat="1" customHeight="1" s="7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2.75" customFormat="1" customHeight="1" s="7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2.75" customFormat="1" customHeight="1" s="7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2.75" customFormat="1" customHeight="1" s="7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2.75" customFormat="1" customHeight="1" s="7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2.75" customFormat="1" customHeight="1" s="7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2.75" customFormat="1" customHeight="1" s="7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2.75" customFormat="1" customHeight="1" s="7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2.75" customFormat="1" customHeight="1" s="7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2.75" customFormat="1" customHeight="1" s="7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2.75" customFormat="1" customHeight="1" s="7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2.75" customFormat="1" customHeight="1" s="7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2.75" customFormat="1" customHeight="1" s="7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2.75" customFormat="1" customHeight="1" s="7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2.75" customFormat="1" customHeight="1" s="7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2.75" customFormat="1" customHeight="1" s="7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2.75" customFormat="1" customHeight="1" s="7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2.75" customFormat="1" customHeight="1" s="7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2.75" customFormat="1" customHeight="1" s="7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2.75" customFormat="1" customHeight="1" s="7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2.75" customFormat="1" customHeight="1" s="7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2.75" customFormat="1" customHeight="1" s="7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2.75" customFormat="1" customHeight="1" s="7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2.75" customFormat="1" customHeight="1" s="7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2.75" customFormat="1" customHeight="1" s="7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2.75" customFormat="1" customHeight="1" s="7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2.75" customFormat="1" customHeight="1" s="7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2.75" customFormat="1" customHeight="1" s="7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2.75" customFormat="1" customHeight="1" s="7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2.75" customFormat="1" customHeight="1" s="7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2.75" customFormat="1" customHeight="1" s="7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2.75" customFormat="1" customHeight="1" s="7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2.75" customFormat="1" customHeight="1" s="7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2.75" customFormat="1" customHeight="1" s="7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2.75" customFormat="1" customHeight="1" s="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2.75" customFormat="1" customHeight="1" s="7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2.75" customFormat="1" customHeight="1" s="7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2.75" customFormat="1" customHeight="1" s="7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2.75" customFormat="1" customHeight="1" s="7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2.75" customFormat="1" customHeight="1" s="7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2.75" customFormat="1" customHeight="1" s="7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2.75" customFormat="1" customHeight="1" s="7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2.75" customFormat="1" customHeight="1" s="7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2.75" customFormat="1" customHeight="1" s="7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2.75" customFormat="1" customHeight="1" s="7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2.75" customFormat="1" customHeight="1" s="7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2.75" customFormat="1" customHeight="1" s="7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2.75" customFormat="1" customHeight="1" s="7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2.75" customFormat="1" customHeight="1" s="7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2.75" customFormat="1" customHeight="1" s="7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2.75" customFormat="1" customHeight="1" s="7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2.75" customFormat="1" customHeight="1" s="7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2.75" customFormat="1" customHeight="1" s="7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2.75" customFormat="1" customHeight="1" s="7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2.75" customFormat="1" customHeight="1" s="7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2.75" customFormat="1" customHeight="1" s="7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2.75" customFormat="1" customHeight="1" s="7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2.75" customFormat="1" customHeight="1" s="7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2.75" customFormat="1" customHeight="1" s="7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2.75" customFormat="1" customHeight="1" s="7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2.75" customFormat="1" customHeight="1" s="7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2.75" customFormat="1" customHeight="1" s="7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2.75" customFormat="1" customHeight="1" s="7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2.75" customFormat="1" customHeight="1" s="7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2.75" customFormat="1" customHeight="1" s="7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2.75" customFormat="1" customHeight="1" s="7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2.75" customFormat="1" customHeight="1" s="7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2.75" customFormat="1" customHeight="1" s="7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2.75" customFormat="1" customHeight="1" s="7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2.75" customFormat="1" customHeight="1" s="7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2.75" customFormat="1" customHeight="1" s="7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2.75" customFormat="1" customHeight="1" s="7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2.75" customFormat="1" customHeight="1" s="7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2.75" customFormat="1" customHeight="1" s="7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2.75" customFormat="1" customHeight="1" s="7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2.75" customFormat="1" customHeight="1" s="7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2.75" customFormat="1" customHeight="1" s="7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2.75" customFormat="1" customHeight="1" s="7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2.75" customFormat="1" customHeight="1" s="7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2.75" customFormat="1" customHeight="1" s="7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2.75" customFormat="1" customHeight="1" s="7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2.75" customFormat="1" customHeight="1" s="7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2.75" customFormat="1" customHeight="1" s="7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2.75" customFormat="1" customHeight="1" s="7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2.75" customFormat="1" customHeight="1" s="7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2.75" customFormat="1" customHeight="1" s="7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2.75" customFormat="1" customHeight="1" s="7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2.75" customFormat="1" customHeight="1" s="7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2.75" customFormat="1" customHeight="1" s="7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2.75" customFormat="1" customHeight="1" s="7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2.75" customFormat="1" customHeight="1" s="7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2.75" customFormat="1" customHeight="1" s="7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2.75" customFormat="1" customHeight="1" s="7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2.75" customFormat="1" customHeight="1" s="7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2.75" customFormat="1" customHeight="1" s="7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2.75" customFormat="1" customHeight="1" s="7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2.75" customFormat="1" customHeight="1" s="7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2.75" customFormat="1" customHeight="1" s="7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2.75" customFormat="1" customHeight="1" s="7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2.75" customFormat="1" customHeight="1" s="7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2.75" customFormat="1" customHeight="1" s="7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2.75" customFormat="1" customHeight="1" s="7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2.75" customFormat="1" customHeight="1" s="7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2.75" customFormat="1" customHeight="1" s="7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2.75" customFormat="1" customHeight="1" s="7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2.75" customFormat="1" customHeight="1" s="7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2.75" customFormat="1" customHeight="1" s="7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2.75" customFormat="1" customHeight="1" s="7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2.75" customFormat="1" customHeight="1" s="7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2.75" customFormat="1" customHeight="1" s="7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2.75" customFormat="1" customHeight="1" s="7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2.75" customFormat="1" customHeight="1" s="7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2.75" customFormat="1" customHeight="1" s="7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2.75" customFormat="1" customHeight="1" s="7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2.75" customFormat="1" customHeight="1" s="7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2.75" customFormat="1" customHeight="1" s="7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2.75" customFormat="1" customHeight="1" s="7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2.75" customFormat="1" customHeight="1" s="7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2.75" customFormat="1" customHeight="1" s="7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2.75" customFormat="1" customHeight="1" s="7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2.75" customFormat="1" customHeight="1" s="7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2.75" customFormat="1" customHeight="1" s="7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2.75" customFormat="1" customHeight="1" s="7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2.75" customFormat="1" customHeight="1" s="7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2.75" customFormat="1" customHeight="1" s="7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2.75" customFormat="1" customHeight="1" s="7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2.75" customFormat="1" customHeight="1" s="7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2.75" customFormat="1" customHeight="1" s="7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2.75" customFormat="1" customHeight="1" s="7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2.75" customFormat="1" customHeight="1" s="7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2.75" customFormat="1" customHeight="1" s="7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2.75" customFormat="1" customHeight="1" s="7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2.75" customFormat="1" customHeight="1" s="7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2.75" customFormat="1" customHeight="1" s="7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2.75" customFormat="1" customHeight="1" s="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2.75" customFormat="1" customHeight="1" s="7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2.75" customFormat="1" customHeight="1" s="7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2.75" customFormat="1" customHeight="1" s="7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2.75" customFormat="1" customHeight="1" s="7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2.75" customFormat="1" customHeight="1" s="7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2.75" customFormat="1" customHeight="1" s="7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2.75" customFormat="1" customHeight="1" s="7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2.75" customFormat="1" customHeight="1" s="7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2.75" customFormat="1" customHeight="1" s="7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2.75" customFormat="1" customHeight="1" s="7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2.75" customFormat="1" customHeight="1" s="7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2.75" customFormat="1" customHeight="1" s="7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2.75" customFormat="1" customHeight="1" s="7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2.75" customFormat="1" customHeight="1" s="7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2.75" customFormat="1" customHeight="1" s="7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2.75" customFormat="1" customHeight="1" s="7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2.75" customFormat="1" customHeight="1" s="7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2.75" customFormat="1" customHeight="1" s="7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2.75" customFormat="1" customHeight="1" s="7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2.75" customFormat="1" customHeight="1" s="7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2.75" customFormat="1" customHeight="1" s="7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2.75" customFormat="1" customHeight="1" s="7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2.75" customFormat="1" customHeight="1" s="7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2.75" customFormat="1" customHeight="1" s="7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2.75" customFormat="1" customHeight="1" s="7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2.75" customFormat="1" customHeight="1" s="7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2.75" customFormat="1" customHeight="1" s="7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2.75" customFormat="1" customHeight="1" s="7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2.75" customFormat="1" customHeight="1" s="7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2.75" customFormat="1" customHeight="1" s="7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2.75" customFormat="1" customHeight="1" s="7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2.75" customFormat="1" customHeight="1" s="7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2.75" customFormat="1" customHeight="1" s="7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2.75" customFormat="1" customHeight="1" s="7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2.75" customFormat="1" customHeight="1" s="7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2.75" customFormat="1" customHeight="1" s="7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2.75" customFormat="1" customHeight="1" s="7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2.75" customFormat="1" customHeight="1" s="7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2.75" customFormat="1" customHeight="1" s="7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2.75" customFormat="1" customHeight="1" s="7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2.75" customFormat="1" customHeight="1" s="7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2.75" customFormat="1" customHeight="1" s="7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2.75" customFormat="1" customHeight="1" s="7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2.75" customFormat="1" customHeight="1" s="7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2.75" customFormat="1" customHeight="1" s="7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2.75" customFormat="1" customHeight="1" s="7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2.75" customFormat="1" customHeight="1" s="7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2.75" customFormat="1" customHeight="1" s="7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2.75" customFormat="1" customHeight="1" s="7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2.75" customFormat="1" customHeight="1" s="7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2.75" customFormat="1" customHeight="1" s="7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2.75" customFormat="1" customHeight="1" s="7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2.75" customFormat="1" customHeight="1" s="7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2.75" customFormat="1" customHeight="1" s="7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2.75" customFormat="1" customHeight="1" s="7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2.75" customFormat="1" customHeight="1" s="7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2.75" customFormat="1" customHeight="1" s="7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2.75" customFormat="1" customHeight="1" s="7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2.75" customFormat="1" customHeight="1" s="7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2.75" customFormat="1" customHeight="1" s="7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2.75" customFormat="1" customHeight="1" s="7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2.75" customFormat="1" customHeight="1" s="7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2.75" customFormat="1" customHeight="1" s="7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2.75" customFormat="1" customHeight="1" s="7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2.75" customFormat="1" customHeight="1" s="7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2.75" customFormat="1" customHeight="1" s="7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2.75" customFormat="1" customHeight="1" s="7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2.75" customFormat="1" customHeight="1" s="7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2.75" customFormat="1" customHeight="1" s="7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2.75" customFormat="1" customHeight="1" s="7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2.75" customFormat="1" customHeight="1" s="7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2.75" customFormat="1" customHeight="1" s="7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2.75" customFormat="1" customHeight="1" s="7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2.75" customFormat="1" customHeight="1" s="7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2.75" customFormat="1" customHeight="1" s="7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2.75" customFormat="1" customHeight="1" s="7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2.75" customFormat="1" customHeight="1" s="7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2.75" customFormat="1" customHeight="1" s="7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2.75" customFormat="1" customHeight="1" s="7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2.75" customFormat="1" customHeight="1" s="7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2.75" customFormat="1" customHeight="1" s="7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2.75" customFormat="1" customHeight="1" s="7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2.75" customFormat="1" customHeight="1" s="7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2.75" customFormat="1" customHeight="1" s="7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2.75" customFormat="1" customHeight="1" s="7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2.75" customFormat="1" customHeight="1" s="7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2.75" customFormat="1" customHeight="1" s="7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2.75" customFormat="1" customHeight="1" s="7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2.75" customFormat="1" customHeight="1" s="7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2.75" customFormat="1" customHeight="1" s="7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2.75" customFormat="1" customHeight="1" s="7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2.75" customFormat="1" customHeight="1" s="7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2.75" customFormat="1" customHeight="1" s="7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2.75" customFormat="1" customHeight="1" s="7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2.75" customFormat="1" customHeight="1" s="7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2.75" customFormat="1" customHeight="1" s="7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2.75" customFormat="1" customHeight="1" s="7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2.75" customFormat="1" customHeight="1" s="7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2.75" customFormat="1" customHeight="1" s="7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2.75" customFormat="1" customHeight="1" s="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2.75" customFormat="1" customHeight="1" s="7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2.75" customFormat="1" customHeight="1" s="7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2.75" customFormat="1" customHeight="1" s="7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2.75" customFormat="1" customHeight="1" s="7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2.75" customFormat="1" customHeight="1" s="7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2.75" customFormat="1" customHeight="1" s="7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2.75" customFormat="1" customHeight="1" s="7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2.75" customFormat="1" customHeight="1" s="7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2.75" customFormat="1" customHeight="1" s="7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2.75" customFormat="1" customHeight="1" s="7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2.75" customFormat="1" customHeight="1" s="7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2.75" customFormat="1" customHeight="1" s="7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2.75" customFormat="1" customHeight="1" s="7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2.75" customFormat="1" customHeight="1" s="7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2.75" customFormat="1" customHeight="1" s="7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2.75" customFormat="1" customHeight="1" s="7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2.75" customFormat="1" customHeight="1" s="7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2.75" customFormat="1" customHeight="1" s="7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2.75" customFormat="1" customHeight="1" s="7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2.75" customFormat="1" customHeight="1" s="7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2.75" customFormat="1" customHeight="1" s="7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2.75" customFormat="1" customHeight="1" s="7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2.75" customFormat="1" customHeight="1" s="7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2.75" customFormat="1" customHeight="1" s="7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2.75" customFormat="1" customHeight="1" s="7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2.75" customFormat="1" customHeight="1" s="7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2.75" customFormat="1" customHeight="1" s="7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2.75" customFormat="1" customHeight="1" s="7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2.75" customFormat="1" customHeight="1" s="7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2.75" customFormat="1" customHeight="1" s="7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2.75" customFormat="1" customHeight="1" s="7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2.75" customFormat="1" customHeight="1" s="7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2.75" customFormat="1" customHeight="1" s="7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2.75" customFormat="1" customHeight="1" s="7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2.75" customFormat="1" customHeight="1" s="7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2.75" customFormat="1" customHeight="1" s="7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2.75" customFormat="1" customHeight="1" s="7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2.75" customFormat="1" customHeight="1" s="7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2.75" customFormat="1" customHeight="1" s="7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2.75" customFormat="1" customHeight="1" s="7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2.75" customFormat="1" customHeight="1" s="7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2.75" customFormat="1" customHeight="1" s="7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2.75" customFormat="1" customHeight="1" s="7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2.75" customFormat="1" customHeight="1" s="7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2.75" customFormat="1" customHeight="1" s="7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2.75" customFormat="1" customHeight="1" s="7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2.75" customFormat="1" customHeight="1" s="7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2.75" customFormat="1" customHeight="1" s="7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2.75" customFormat="1" customHeight="1" s="7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2.75" customFormat="1" customHeight="1" s="7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2.75" customFormat="1" customHeight="1" s="7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2.75" customFormat="1" customHeight="1" s="7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2.75" customFormat="1" customHeight="1" s="7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2.75" customFormat="1" customHeight="1" s="7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2.75" customFormat="1" customHeight="1" s="7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2.75" customFormat="1" customHeight="1" s="7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2.75" customFormat="1" customHeight="1" s="7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2.75" customFormat="1" customHeight="1" s="7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2.75" customFormat="1" customHeight="1" s="7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2.75" customFormat="1" customHeight="1" s="7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2.75" customFormat="1" customHeight="1" s="7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2.75" customFormat="1" customHeight="1" s="7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2.75" customFormat="1" customHeight="1" s="7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2.75" customFormat="1" customHeight="1" s="7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2.75" customFormat="1" customHeight="1" s="7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2.75" customFormat="1" customHeight="1" s="7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2.75" customFormat="1" customHeight="1" s="7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2.75" customFormat="1" customHeight="1" s="7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2.75" customFormat="1" customHeight="1" s="7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2.75" customFormat="1" customHeight="1" s="7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2.75" customFormat="1" customHeight="1" s="7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2.75" customFormat="1" customHeight="1" s="7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2.75" customFormat="1" customHeight="1" s="7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2.75" customFormat="1" customHeight="1" s="7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2.75" customFormat="1" customHeight="1" s="7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2.75" customFormat="1" customHeight="1" s="7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2.75" customFormat="1" customHeight="1" s="7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2.75" customFormat="1" customHeight="1" s="7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2.75" customFormat="1" customHeight="1" s="7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2.75" customFormat="1" customHeight="1" s="7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2.75" customFormat="1" customHeight="1" s="7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2.75" customFormat="1" customHeight="1" s="7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2.75" customFormat="1" customHeight="1" s="7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2.75" customFormat="1" customHeight="1" s="7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2.75" customFormat="1" customHeight="1" s="7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2.75" customFormat="1" customHeight="1" s="7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2.75" customFormat="1" customHeight="1" s="7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2.75" customFormat="1" customHeight="1" s="7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2.75" customFormat="1" customHeight="1" s="7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2.75" customFormat="1" customHeight="1" s="7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2.75" customFormat="1" customHeight="1" s="7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2.75" customFormat="1" customHeight="1" s="7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2.75" customFormat="1" customHeight="1" s="7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2.75" customFormat="1" customHeight="1" s="7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2.75" customFormat="1" customHeight="1" s="7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2.75" customFormat="1" customHeight="1" s="7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2.75" customFormat="1" customHeight="1" s="7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2.75" customFormat="1" customHeight="1" s="7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2.75" customFormat="1" customHeight="1" s="7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2.75" customFormat="1" customHeight="1" s="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2.75" customFormat="1" customHeight="1" s="7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2.75" customFormat="1" customHeight="1" s="7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2.75" customFormat="1" customHeight="1" s="7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2.75" customFormat="1" customHeight="1" s="7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2.75" customFormat="1" customHeight="1" s="7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2.75" customFormat="1" customHeight="1" s="7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2.75" customFormat="1" customHeight="1" s="7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2.75" customFormat="1" customHeight="1" s="7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2.75" customFormat="1" customHeight="1" s="7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2.75" customFormat="1" customHeight="1" s="7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2.75" customFormat="1" customHeight="1" s="7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2.75" customFormat="1" customHeight="1" s="7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2.75" customFormat="1" customHeight="1" s="7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2.75" customFormat="1" customHeight="1" s="7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2.75" customFormat="1" customHeight="1" s="7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2.75" customFormat="1" customHeight="1" s="7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2.75" customFormat="1" customHeight="1" s="7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2.75" customFormat="1" customHeight="1" s="7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2.75" customFormat="1" customHeight="1" s="7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2.75" customFormat="1" customHeight="1" s="7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2.75" customFormat="1" customHeight="1" s="7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2.75" customFormat="1" customHeight="1" s="7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2.75" customFormat="1" customHeight="1" s="7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2.75" customFormat="1" customHeight="1" s="7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2578125" defaultRowHeight="12.75"/>
  <cols>
    <col width="12.5703125" customWidth="1" style="76" min="1" max="6"/>
  </cols>
  <sheetData>
    <row r="1" ht="14.25" customFormat="1" customHeight="1" s="76">
      <c r="A1" s="25" t="inlineStr">
        <is>
          <t>1) Правила работы с Excel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4.25" customFormat="1" customHeight="1" s="76">
      <c r="A2" s="25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14.25" customFormat="1" customHeight="1" s="76">
      <c r="A3" s="25" t="inlineStr">
        <is>
          <t>Открой файл Excel.</t>
        </is>
      </c>
      <c r="B3" s="2" t="n"/>
      <c r="C3" s="25" t="inlineStr">
        <is>
          <t>все промты пишутся на русском языке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4.25" customFormat="1" customHeight="1" s="76">
      <c r="A4" s="25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14.25" customFormat="1" customHeight="1" s="76">
      <c r="A5" s="25" t="inlineStr">
        <is>
          <t>Прочитай: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14.25" customFormat="1" customHeight="1" s="7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 ht="14.25" customFormat="1" customHeight="1" s="76">
      <c r="A7" s="6" t="inlineStr">
        <is>
          <t>План №1 промт для текста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 ht="14.25" customFormat="1" customHeight="1" s="76">
      <c r="A8" s="25" t="inlineStr">
        <is>
          <t>1. Необходимо зайти в лист "Промт текста" и прочитать текстовое задание и пояснение к составлению текста озвучки. План нужно соблюдать точно, учитывай все что там написано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 ht="14.25" customFormat="1" customHeight="1" s="76">
      <c r="A9" s="25" t="inlineStr">
        <is>
          <t>2. Перейди в лист общий план, там прочитай план ролика ориентируйся при написании текста на него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 ht="14.25" customFormat="1" customHeight="1" s="76">
      <c r="A10" s="25" t="inlineStr">
        <is>
          <t>3. Перейди в лист "План" и запиши промт по плану который ты узнал в листе "Промт текста" исходя из основной идеи которая записана в листе "общий план" а так же сохраняя структуру и последовательность, запиши текст как рассказчик последовательно соблюдая хронологию и вписывая основные даты в лист "план" строки 40 начиная с столбца С, каждый промт запиши отдельно последовательно строку  40 двигаясь направо. При записи промтов учитывай что смысловые схожие части которые были до должны быть в одном контексте, однако если ячейки сильно отличаются по смыслу, то они могут быть сильно разными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 ht="14.25" customFormat="1" customHeight="1" s="76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 ht="14.25" customFormat="1" customHeight="1" s="76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 ht="14.25" customFormat="1" customHeight="1" s="76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 ht="14.25" customFormat="1" customHeight="1" s="76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 ht="14.25" customFormat="1" customHeight="1" s="76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 ht="14.25" customFormat="1" customHeight="1" s="7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 ht="14.25" customFormat="1" customHeight="1" s="76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 ht="14.25" customFormat="1" customHeight="1" s="76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 ht="14.25" customFormat="1" customHeight="1" s="76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 ht="14.25" customFormat="1" customHeight="1" s="76">
      <c r="A20" s="25" t="inlineStr">
        <is>
          <t>План №2 промт иллюстраций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 ht="14.25" customFormat="1" customHeight="1" s="76">
      <c r="A21" s="25" t="inlineStr">
        <is>
          <t>1. Необходимо зайти в лист "Промт фото" и прочитать текстовое задание и пояснение к составлению промта для nano banana pro. План нужно соблюдать точно, учитывай все что там написано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 ht="14.25" customFormat="1" customHeight="1" s="76">
      <c r="A22" s="25" t="inlineStr">
        <is>
          <t>2. Перейди в лист "План" и запиши промт по плану который ты узнал в листе "Промт фото" исходя из основной идеи которая записана в строке 40 стобца начиная с B каждый промт запиши отдельно в тот же столбец строку  38. При записи промтов учитывай что смысловые схожие части которые были до должны быть в одном контексте, однако если ячейки сильно отличаются по смыслу, то они могут быть сильно разными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 ht="14.25" customFormat="1" customHeight="1" s="76">
      <c r="A23" s="25" t="inlineStr">
        <is>
          <t>3. Общая тема всего видео "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14.25" customFormat="1" customHeight="1" s="76">
      <c r="A24" s="18" t="inlineStr">
        <is>
          <t>4. При написании промтов ты обязан следовать и описывать все что записано в "промт фото" и записывать обьемный промт со всем что там указано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14.25" customFormat="1" customHeight="1" s="76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14.25" customFormat="1" customHeight="1" s="7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 ht="14.25" customFormat="1" customHeight="1" s="76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 ht="14.25" customFormat="1" customHeight="1" s="76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 ht="14.25" customFormat="1" customHeight="1" s="76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 ht="14.25" customFormat="1" customHeight="1" s="76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 ht="14.25" customFormat="1" customHeight="1" s="76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 ht="14.25" customFormat="1" customHeight="1" s="76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 ht="14.25" customFormat="1" customHeight="1" s="76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 ht="15.75" customFormat="1" customHeight="1" s="76">
      <c r="A34" s="26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15.75" customFormat="1" customHeight="1" s="76">
      <c r="A35" s="26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 ht="15.75" customFormat="1" customHeight="1" s="76">
      <c r="A36" s="26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 ht="15.75" customFormat="1" customHeight="1" s="76">
      <c r="A37" s="26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 ht="18" customFormat="1" customHeight="1" s="76">
      <c r="A38" s="26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8" customFormat="1" customHeight="1" s="76">
      <c r="A39" s="26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 ht="18" customFormat="1" customHeight="1" s="76">
      <c r="A40" s="26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 ht="18" customFormat="1" customHeight="1" s="76">
      <c r="A41" s="26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 ht="18" customFormat="1" customHeight="1" s="76">
      <c r="A42" s="26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 ht="18" customFormat="1" customHeight="1" s="76">
      <c r="A43" s="26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 ht="18" customFormat="1" customHeight="1" s="76">
      <c r="A44" s="26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 ht="18" customFormat="1" customHeight="1" s="76">
      <c r="A45" s="26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18" customFormat="1" customHeight="1" s="76">
      <c r="A46" s="26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18" customFormat="1" customHeight="1" s="76">
      <c r="A47" s="26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18" customFormat="1" customHeight="1" s="76">
      <c r="A48" s="26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18" customFormat="1" customHeight="1" s="76">
      <c r="A49" s="26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 ht="18" customFormat="1" customHeight="1" s="76">
      <c r="A50" s="26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 ht="18" customFormat="1" customHeight="1" s="76">
      <c r="A51" s="26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18" customFormat="1" customHeight="1" s="76">
      <c r="A52" s="26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18" customFormat="1" customHeight="1" s="76">
      <c r="A53" s="26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18" customFormat="1" customHeight="1" s="76">
      <c r="A54" s="26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18" customFormat="1" customHeight="1" s="76">
      <c r="A55" s="26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18" customFormat="1" customHeight="1" s="76">
      <c r="A56" s="26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18" customFormat="1" customHeight="1" s="76">
      <c r="A57" s="26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18" customFormat="1" customHeight="1" s="76">
      <c r="A58" s="26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18" customFormat="1" customHeight="1" s="76">
      <c r="A59" s="26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18" customFormat="1" customHeight="1" s="76">
      <c r="A60" s="26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18" customFormat="1" customHeight="1" s="76">
      <c r="A61" s="26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18" customFormat="1" customHeight="1" s="76">
      <c r="A62" s="26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18" customFormat="1" customHeight="1" s="76">
      <c r="A63" s="26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18" customFormat="1" customHeight="1" s="76">
      <c r="A64" s="26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18" customFormat="1" customHeight="1" s="76">
      <c r="A65" s="26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18" customFormat="1" customHeight="1" s="76">
      <c r="A66" s="26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18" customFormat="1" customHeight="1" s="76">
      <c r="A67" s="26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18" customFormat="1" customHeight="1" s="76">
      <c r="A68" s="26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18" customFormat="1" customHeight="1" s="76">
      <c r="A69" s="26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18" customFormat="1" customHeight="1" s="76">
      <c r="A70" s="26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18" customFormat="1" customHeight="1" s="76">
      <c r="A71" s="26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18" customFormat="1" customHeight="1" s="76">
      <c r="A72" s="26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18" customFormat="1" customHeight="1" s="76">
      <c r="A73" s="26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18" customFormat="1" customHeight="1" s="76">
      <c r="A74" s="26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18" customFormat="1" customHeight="1" s="76">
      <c r="A75" s="26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18" customFormat="1" customHeight="1" s="76">
      <c r="A76" s="26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 ht="18" customFormat="1" customHeight="1" s="76">
      <c r="A77" s="26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 ht="18" customFormat="1" customHeight="1" s="76">
      <c r="A78" s="26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 ht="18" customFormat="1" customHeight="1" s="76">
      <c r="A79" s="26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 ht="18" customFormat="1" customHeight="1" s="76">
      <c r="A80" s="26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 ht="18" customFormat="1" customHeight="1" s="76">
      <c r="A81" s="26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 ht="18" customFormat="1" customHeight="1" s="76">
      <c r="A82" s="26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 ht="18" customFormat="1" customHeight="1" s="76">
      <c r="A83" s="26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 ht="18" customFormat="1" customHeight="1" s="76">
      <c r="A84" s="26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 ht="18" customFormat="1" customHeight="1" s="76">
      <c r="A85" s="26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 ht="18" customFormat="1" customHeight="1" s="76">
      <c r="A86" s="26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 ht="18" customFormat="1" customHeight="1" s="76">
      <c r="A87" s="26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 ht="18" customFormat="1" customHeight="1" s="76">
      <c r="A88" s="26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 ht="15.75" customFormat="1" customHeight="1" s="76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 ht="15.75" customFormat="1" customHeight="1" s="76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 ht="15.75" customFormat="1" customHeight="1" s="76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 ht="15.75" customFormat="1" customHeight="1" s="76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 ht="15.75" customFormat="1" customHeight="1" s="76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 ht="15.75" customFormat="1" customHeight="1" s="76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 ht="15.75" customFormat="1" customHeight="1" s="76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 ht="15.75" customFormat="1" customHeight="1" s="7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 ht="15.75" customFormat="1" customHeight="1" s="76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 ht="15.75" customFormat="1" customHeight="1" s="76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 ht="15.75" customFormat="1" customHeight="1" s="76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 ht="15.75" customFormat="1" customHeight="1" s="76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 ht="12.75" customFormat="1" customHeight="1" s="76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 ht="12.75" customFormat="1" customHeight="1" s="76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 ht="12.75" customFormat="1" customHeight="1" s="76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 ht="12.75" customFormat="1" customHeight="1" s="76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 ht="12.75" customFormat="1" customHeight="1" s="76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 ht="12.75" customFormat="1" customHeight="1" s="7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 ht="12.75" customFormat="1" customHeight="1" s="76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 ht="12.75" customFormat="1" customHeight="1" s="76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 ht="12.75" customFormat="1" customHeight="1" s="76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 ht="12.75" customFormat="1" customHeight="1" s="76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 ht="12.75" customFormat="1" customHeight="1" s="76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 ht="12.75" customFormat="1" customHeight="1" s="76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 ht="12.75" customFormat="1" customHeight="1" s="76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 ht="12.75" customFormat="1" customHeight="1" s="76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 ht="12.75" customFormat="1" customHeight="1" s="76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 ht="12.75" customFormat="1" customHeight="1" s="7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 ht="12.75" customFormat="1" customHeight="1" s="76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 ht="12.75" customFormat="1" customHeight="1" s="7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 ht="12.75" customFormat="1" customHeight="1" s="76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 ht="12.75" customFormat="1" customHeight="1" s="76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 ht="12.75" customFormat="1" customHeight="1" s="7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 ht="12.75" customFormat="1" customHeight="1" s="7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 ht="12.75" customFormat="1" customHeight="1" s="76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 ht="12.75" customFormat="1" customHeight="1" s="76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 ht="12.75" customFormat="1" customHeight="1" s="7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 ht="12.75" customFormat="1" customHeight="1" s="7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 ht="12.75" customFormat="1" customHeight="1" s="7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 ht="12.75" customFormat="1" customHeight="1" s="7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 ht="12.75" customFormat="1" customHeight="1" s="7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 ht="12.75" customFormat="1" customHeight="1" s="7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 ht="12.75" customFormat="1" customHeight="1" s="7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 ht="12.75" customFormat="1" customHeight="1" s="7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 ht="12.75" customFormat="1" customHeight="1" s="7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 ht="12.75" customFormat="1" customHeight="1" s="7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 ht="12.75" customFormat="1" customHeight="1" s="7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 ht="12.75" customFormat="1" customHeight="1" s="7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 ht="12.75" customFormat="1" customHeight="1" s="7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 ht="12.75" customFormat="1" customHeight="1" s="7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 ht="12.75" customFormat="1" customHeight="1" s="7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 ht="12.75" customFormat="1" customHeight="1" s="7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 ht="12.75" customFormat="1" customHeight="1" s="7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 ht="12.75" customFormat="1" customHeight="1" s="7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 ht="12.75" customFormat="1" customHeight="1" s="7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 ht="12.75" customFormat="1" customHeight="1" s="7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 ht="12.75" customFormat="1" customHeight="1" s="7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 ht="12.75" customFormat="1" customHeight="1" s="7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 ht="12.75" customFormat="1" customHeight="1" s="7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 ht="12.75" customFormat="1" customHeight="1" s="7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 ht="12.75" customFormat="1" customHeight="1" s="7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 ht="12.75" customFormat="1" customHeight="1" s="7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 ht="12.75" customFormat="1" customHeight="1" s="7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 ht="12.75" customFormat="1" customHeight="1" s="7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 ht="12.75" customFormat="1" customHeight="1" s="7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 ht="12.75" customFormat="1" customHeight="1" s="7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 ht="12.75" customFormat="1" customHeight="1" s="7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 ht="12.75" customFormat="1" customHeight="1" s="7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 ht="12.75" customFormat="1" customHeight="1" s="7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 ht="12.75" customFormat="1" customHeight="1" s="7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 ht="12.75" customFormat="1" customHeight="1" s="7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 ht="12.75" customFormat="1" customHeight="1" s="7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 ht="12.75" customFormat="1" customHeight="1" s="7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 ht="12.75" customFormat="1" customHeight="1" s="7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 ht="12.75" customFormat="1" customHeight="1" s="7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 ht="12.75" customFormat="1" customHeight="1" s="7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 ht="12.75" customFormat="1" customHeight="1" s="7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 ht="12.75" customFormat="1" customHeight="1" s="7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 ht="12.75" customFormat="1" customHeight="1" s="7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 ht="12.75" customFormat="1" customHeight="1" s="7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 ht="12.75" customFormat="1" customHeight="1" s="7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 ht="12.75" customFormat="1" customHeight="1" s="7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 ht="12.75" customFormat="1" customHeight="1" s="7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 ht="12.75" customFormat="1" customHeight="1" s="7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 ht="12.75" customFormat="1" customHeight="1" s="7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 ht="12.75" customFormat="1" customHeight="1" s="7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 ht="12.75" customFormat="1" customHeight="1" s="7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 ht="12.75" customFormat="1" customHeight="1" s="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 ht="12.75" customFormat="1" customHeight="1" s="7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 ht="12.75" customFormat="1" customHeight="1" s="7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 ht="12.75" customFormat="1" customHeight="1" s="7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 ht="12.75" customFormat="1" customHeight="1" s="7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 ht="12.75" customFormat="1" customHeight="1" s="7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 ht="12.75" customFormat="1" customHeight="1" s="7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 ht="12.75" customFormat="1" customHeight="1" s="7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 ht="12.75" customFormat="1" customHeight="1" s="7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 ht="12.75" customFormat="1" customHeight="1" s="7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 ht="12.75" customFormat="1" customHeight="1" s="7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 ht="12.75" customFormat="1" customHeight="1" s="7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 ht="12.75" customFormat="1" customHeight="1" s="7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 ht="12.75" customFormat="1" customHeight="1" s="7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 ht="12.75" customFormat="1" customHeight="1" s="7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 ht="12.75" customFormat="1" customHeight="1" s="7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 ht="12.75" customFormat="1" customHeight="1" s="7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 ht="12.75" customFormat="1" customHeight="1" s="7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 ht="12.75" customFormat="1" customHeight="1" s="7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 ht="12.75" customFormat="1" customHeight="1" s="7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 ht="12.75" customFormat="1" customHeight="1" s="7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 ht="12.75" customFormat="1" customHeight="1" s="7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 ht="12.75" customFormat="1" customHeight="1" s="7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 ht="12.75" customFormat="1" customHeight="1" s="7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 ht="12.75" customFormat="1" customHeight="1" s="7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 ht="12.75" customFormat="1" customHeight="1" s="7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 ht="12.75" customFormat="1" customHeight="1" s="7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 ht="12.75" customFormat="1" customHeight="1" s="7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 ht="12.75" customFormat="1" customHeight="1" s="7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 ht="12.75" customFormat="1" customHeight="1" s="7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 ht="12.75" customFormat="1" customHeight="1" s="7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 ht="12.75" customFormat="1" customHeight="1" s="7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 ht="12.75" customFormat="1" customHeight="1" s="7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 ht="12.75" customFormat="1" customHeight="1" s="7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 ht="12.75" customFormat="1" customHeight="1" s="7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 ht="12.75" customFormat="1" customHeight="1" s="7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 ht="12.75" customFormat="1" customHeight="1" s="7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 ht="12.75" customFormat="1" customHeight="1" s="7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 ht="12.75" customFormat="1" customHeight="1" s="7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 ht="12.75" customFormat="1" customHeight="1" s="7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 ht="12.75" customFormat="1" customHeight="1" s="7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 ht="12.75" customFormat="1" customHeight="1" s="7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 ht="12.75" customFormat="1" customHeight="1" s="7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 ht="12.75" customFormat="1" customHeight="1" s="7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 ht="12.75" customFormat="1" customHeight="1" s="7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 ht="12.75" customFormat="1" customHeight="1" s="7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2.75" customFormat="1" customHeight="1" s="7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2.75" customFormat="1" customHeight="1" s="7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2.75" customFormat="1" customHeight="1" s="7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2.75" customFormat="1" customHeight="1" s="7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2.75" customFormat="1" customHeight="1" s="7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2.75" customFormat="1" customHeight="1" s="7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2.75" customFormat="1" customHeight="1" s="7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2.75" customFormat="1" customHeight="1" s="7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2.75" customFormat="1" customHeight="1" s="7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2.75" customFormat="1" customHeight="1" s="7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2.75" customFormat="1" customHeight="1" s="7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2.75" customFormat="1" customHeight="1" s="7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2.75" customFormat="1" customHeight="1" s="7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2.75" customFormat="1" customHeight="1" s="7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2.75" customFormat="1" customHeight="1" s="7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2.75" customFormat="1" customHeight="1" s="7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2.75" customFormat="1" customHeight="1" s="7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2.75" customFormat="1" customHeight="1" s="7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2.75" customFormat="1" customHeight="1" s="7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2.75" customFormat="1" customHeight="1" s="7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2.75" customFormat="1" customHeight="1" s="7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2.75" customFormat="1" customHeight="1" s="7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2.75" customFormat="1" customHeight="1" s="7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2.75" customFormat="1" customHeight="1" s="7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2.75" customFormat="1" customHeight="1" s="7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2.75" customFormat="1" customHeight="1" s="7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2.75" customFormat="1" customHeight="1" s="7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2.75" customFormat="1" customHeight="1" s="7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2.75" customFormat="1" customHeight="1" s="7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2.75" customFormat="1" customHeight="1" s="7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2.75" customFormat="1" customHeight="1" s="7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2.75" customFormat="1" customHeight="1" s="7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2.75" customFormat="1" customHeight="1" s="7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2.75" customFormat="1" customHeight="1" s="7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2.75" customFormat="1" customHeight="1" s="7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2.75" customFormat="1" customHeight="1" s="7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2.75" customFormat="1" customHeight="1" s="7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2.75" customFormat="1" customHeight="1" s="7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2.75" customFormat="1" customHeight="1" s="7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2.75" customFormat="1" customHeight="1" s="7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2.75" customFormat="1" customHeight="1" s="7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2.75" customFormat="1" customHeight="1" s="7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2.75" customFormat="1" customHeight="1" s="7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2.75" customFormat="1" customHeight="1" s="7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2.75" customFormat="1" customHeight="1" s="7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2.75" customFormat="1" customHeight="1" s="7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2.75" customFormat="1" customHeight="1" s="7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2.75" customFormat="1" customHeight="1" s="7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2.75" customFormat="1" customHeight="1" s="7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2.75" customFormat="1" customHeight="1" s="7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2.75" customFormat="1" customHeight="1" s="7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2.75" customFormat="1" customHeight="1" s="7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2.75" customFormat="1" customHeight="1" s="7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2.75" customFormat="1" customHeight="1" s="7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2.75" customFormat="1" customHeight="1" s="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2.75" customFormat="1" customHeight="1" s="7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2.75" customFormat="1" customHeight="1" s="7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2.75" customFormat="1" customHeight="1" s="7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2.75" customFormat="1" customHeight="1" s="7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2.75" customFormat="1" customHeight="1" s="7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2.75" customFormat="1" customHeight="1" s="7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2.75" customFormat="1" customHeight="1" s="7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2.75" customFormat="1" customHeight="1" s="7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2.75" customFormat="1" customHeight="1" s="7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2.75" customFormat="1" customHeight="1" s="7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2.75" customFormat="1" customHeight="1" s="7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2.75" customFormat="1" customHeight="1" s="7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2.75" customFormat="1" customHeight="1" s="7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2.75" customFormat="1" customHeight="1" s="7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2.75" customFormat="1" customHeight="1" s="7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2.75" customFormat="1" customHeight="1" s="7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2.75" customFormat="1" customHeight="1" s="7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2.75" customFormat="1" customHeight="1" s="7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2.75" customFormat="1" customHeight="1" s="7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2.75" customFormat="1" customHeight="1" s="7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2.75" customFormat="1" customHeight="1" s="7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2.75" customFormat="1" customHeight="1" s="7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2.75" customFormat="1" customHeight="1" s="7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2.75" customFormat="1" customHeight="1" s="7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2.75" customFormat="1" customHeight="1" s="7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2.75" customFormat="1" customHeight="1" s="7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2.75" customFormat="1" customHeight="1" s="7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2.75" customFormat="1" customHeight="1" s="7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2.75" customFormat="1" customHeight="1" s="7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2.75" customFormat="1" customHeight="1" s="7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2.75" customFormat="1" customHeight="1" s="7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2.75" customFormat="1" customHeight="1" s="7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2.75" customFormat="1" customHeight="1" s="7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2.75" customFormat="1" customHeight="1" s="7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2.75" customFormat="1" customHeight="1" s="7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2.75" customFormat="1" customHeight="1" s="7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2.75" customFormat="1" customHeight="1" s="7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2.75" customFormat="1" customHeight="1" s="7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2.75" customFormat="1" customHeight="1" s="7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2.75" customFormat="1" customHeight="1" s="7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2.75" customFormat="1" customHeight="1" s="7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2.75" customFormat="1" customHeight="1" s="7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2.75" customFormat="1" customHeight="1" s="7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2.75" customFormat="1" customHeight="1" s="7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2.75" customFormat="1" customHeight="1" s="7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2.75" customFormat="1" customHeight="1" s="7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2.75" customFormat="1" customHeight="1" s="7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2.75" customFormat="1" customHeight="1" s="7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2.75" customFormat="1" customHeight="1" s="7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2.75" customFormat="1" customHeight="1" s="7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2.75" customFormat="1" customHeight="1" s="7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2.75" customFormat="1" customHeight="1" s="7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2.75" customFormat="1" customHeight="1" s="7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2.75" customFormat="1" customHeight="1" s="7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2.75" customFormat="1" customHeight="1" s="7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2.75" customFormat="1" customHeight="1" s="7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2.75" customFormat="1" customHeight="1" s="7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2.75" customFormat="1" customHeight="1" s="7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2.75" customFormat="1" customHeight="1" s="7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2.75" customFormat="1" customHeight="1" s="7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2.75" customFormat="1" customHeight="1" s="7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2.75" customFormat="1" customHeight="1" s="7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2.75" customFormat="1" customHeight="1" s="7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2.75" customFormat="1" customHeight="1" s="7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2.75" customFormat="1" customHeight="1" s="7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2.75" customFormat="1" customHeight="1" s="7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2.75" customFormat="1" customHeight="1" s="7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2.75" customFormat="1" customHeight="1" s="7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2.75" customFormat="1" customHeight="1" s="7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2.75" customFormat="1" customHeight="1" s="7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2.75" customFormat="1" customHeight="1" s="7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2.75" customFormat="1" customHeight="1" s="7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2.75" customFormat="1" customHeight="1" s="7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2.75" customFormat="1" customHeight="1" s="7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2.75" customFormat="1" customHeight="1" s="7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2.75" customFormat="1" customHeight="1" s="7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2.75" customFormat="1" customHeight="1" s="7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2.75" customFormat="1" customHeight="1" s="7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2.75" customFormat="1" customHeight="1" s="7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2.75" customFormat="1" customHeight="1" s="7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2.75" customFormat="1" customHeight="1" s="7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2.75" customFormat="1" customHeight="1" s="7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2.75" customFormat="1" customHeight="1" s="7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2.75" customFormat="1" customHeight="1" s="7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2.75" customFormat="1" customHeight="1" s="7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2.75" customFormat="1" customHeight="1" s="7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2.75" customFormat="1" customHeight="1" s="7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2.75" customFormat="1" customHeight="1" s="7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2.75" customFormat="1" customHeight="1" s="7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2.75" customFormat="1" customHeight="1" s="7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2.75" customFormat="1" customHeight="1" s="7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2.75" customFormat="1" customHeight="1" s="7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2.75" customFormat="1" customHeight="1" s="7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2.75" customFormat="1" customHeight="1" s="7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2.75" customFormat="1" customHeight="1" s="7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2.75" customFormat="1" customHeight="1" s="7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2.75" customFormat="1" customHeight="1" s="7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2.75" customFormat="1" customHeight="1" s="7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2.75" customFormat="1" customHeight="1" s="7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2.75" customFormat="1" customHeight="1" s="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2.75" customFormat="1" customHeight="1" s="7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2.75" customFormat="1" customHeight="1" s="7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2.75" customFormat="1" customHeight="1" s="7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2.75" customFormat="1" customHeight="1" s="7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2.75" customFormat="1" customHeight="1" s="7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2.75" customFormat="1" customHeight="1" s="7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2.75" customFormat="1" customHeight="1" s="7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2.75" customFormat="1" customHeight="1" s="7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2.75" customFormat="1" customHeight="1" s="7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2.75" customFormat="1" customHeight="1" s="7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2.75" customFormat="1" customHeight="1" s="7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2.75" customFormat="1" customHeight="1" s="7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2.75" customFormat="1" customHeight="1" s="7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2.75" customFormat="1" customHeight="1" s="7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2.75" customFormat="1" customHeight="1" s="7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2.75" customFormat="1" customHeight="1" s="7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2.75" customFormat="1" customHeight="1" s="7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2.75" customFormat="1" customHeight="1" s="7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2.75" customFormat="1" customHeight="1" s="7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2.75" customFormat="1" customHeight="1" s="7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2.75" customFormat="1" customHeight="1" s="7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2.75" customFormat="1" customHeight="1" s="7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2.75" customFormat="1" customHeight="1" s="7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2.75" customFormat="1" customHeight="1" s="7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2.75" customFormat="1" customHeight="1" s="7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2.75" customFormat="1" customHeight="1" s="7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2.75" customFormat="1" customHeight="1" s="7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2.75" customFormat="1" customHeight="1" s="7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2.75" customFormat="1" customHeight="1" s="7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2.75" customFormat="1" customHeight="1" s="7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2.75" customFormat="1" customHeight="1" s="7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2.75" customFormat="1" customHeight="1" s="7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2.75" customFormat="1" customHeight="1" s="7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2.75" customFormat="1" customHeight="1" s="7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2.75" customFormat="1" customHeight="1" s="7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2.75" customFormat="1" customHeight="1" s="7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2.75" customFormat="1" customHeight="1" s="7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2.75" customFormat="1" customHeight="1" s="7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2.75" customFormat="1" customHeight="1" s="7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2.75" customFormat="1" customHeight="1" s="7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2.75" customFormat="1" customHeight="1" s="7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2.75" customFormat="1" customHeight="1" s="7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2.75" customFormat="1" customHeight="1" s="7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2.75" customFormat="1" customHeight="1" s="7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2.75" customFormat="1" customHeight="1" s="7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2.75" customFormat="1" customHeight="1" s="7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2.75" customFormat="1" customHeight="1" s="7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2.75" customFormat="1" customHeight="1" s="7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2.75" customFormat="1" customHeight="1" s="7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2.75" customFormat="1" customHeight="1" s="7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2.75" customFormat="1" customHeight="1" s="7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2.75" customFormat="1" customHeight="1" s="7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2.75" customFormat="1" customHeight="1" s="7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2.75" customFormat="1" customHeight="1" s="7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2.75" customFormat="1" customHeight="1" s="7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2.75" customFormat="1" customHeight="1" s="7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2.75" customFormat="1" customHeight="1" s="7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2.75" customFormat="1" customHeight="1" s="7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2.75" customFormat="1" customHeight="1" s="7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2.75" customFormat="1" customHeight="1" s="7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2.75" customFormat="1" customHeight="1" s="7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2.75" customFormat="1" customHeight="1" s="7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2.75" customFormat="1" customHeight="1" s="7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2.75" customFormat="1" customHeight="1" s="7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2.75" customFormat="1" customHeight="1" s="7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2.75" customFormat="1" customHeight="1" s="7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2.75" customFormat="1" customHeight="1" s="7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2.75" customFormat="1" customHeight="1" s="7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2.75" customFormat="1" customHeight="1" s="7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2.75" customFormat="1" customHeight="1" s="7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2.75" customFormat="1" customHeight="1" s="7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2.75" customFormat="1" customHeight="1" s="7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2.75" customFormat="1" customHeight="1" s="7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2.75" customFormat="1" customHeight="1" s="7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2.75" customFormat="1" customHeight="1" s="7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2.75" customFormat="1" customHeight="1" s="7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2.75" customFormat="1" customHeight="1" s="7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2.75" customFormat="1" customHeight="1" s="7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2.75" customFormat="1" customHeight="1" s="7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2.75" customFormat="1" customHeight="1" s="7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2.75" customFormat="1" customHeight="1" s="7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2.75" customFormat="1" customHeight="1" s="7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2.75" customFormat="1" customHeight="1" s="7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2.75" customFormat="1" customHeight="1" s="7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2.75" customFormat="1" customHeight="1" s="7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2.75" customFormat="1" customHeight="1" s="7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2.75" customFormat="1" customHeight="1" s="7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2.75" customFormat="1" customHeight="1" s="7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2.75" customFormat="1" customHeight="1" s="7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2.75" customFormat="1" customHeight="1" s="7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2.75" customFormat="1" customHeight="1" s="7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2.75" customFormat="1" customHeight="1" s="7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2.75" customFormat="1" customHeight="1" s="7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2.75" customFormat="1" customHeight="1" s="7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2.75" customFormat="1" customHeight="1" s="7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2.75" customFormat="1" customHeight="1" s="7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2.75" customFormat="1" customHeight="1" s="7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2.75" customFormat="1" customHeight="1" s="7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2.75" customFormat="1" customHeight="1" s="7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2.75" customFormat="1" customHeight="1" s="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2.75" customFormat="1" customHeight="1" s="7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2.75" customFormat="1" customHeight="1" s="7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2.75" customFormat="1" customHeight="1" s="7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2.75" customFormat="1" customHeight="1" s="7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2.75" customFormat="1" customHeight="1" s="7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2.75" customFormat="1" customHeight="1" s="7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2.75" customFormat="1" customHeight="1" s="7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2.75" customFormat="1" customHeight="1" s="7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2.75" customFormat="1" customHeight="1" s="7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2.75" customFormat="1" customHeight="1" s="7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2.75" customFormat="1" customHeight="1" s="7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2.75" customFormat="1" customHeight="1" s="7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2.75" customFormat="1" customHeight="1" s="7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2.75" customFormat="1" customHeight="1" s="7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2.75" customFormat="1" customHeight="1" s="7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2.75" customFormat="1" customHeight="1" s="7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2.75" customFormat="1" customHeight="1" s="7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2.75" customFormat="1" customHeight="1" s="7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2.75" customFormat="1" customHeight="1" s="7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2.75" customFormat="1" customHeight="1" s="7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2.75" customFormat="1" customHeight="1" s="7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2.75" customFormat="1" customHeight="1" s="7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2.75" customFormat="1" customHeight="1" s="7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2.75" customFormat="1" customHeight="1" s="7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2.75" customFormat="1" customHeight="1" s="7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2.75" customFormat="1" customHeight="1" s="7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2.75" customFormat="1" customHeight="1" s="7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2.75" customFormat="1" customHeight="1" s="7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2.75" customFormat="1" customHeight="1" s="7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2.75" customFormat="1" customHeight="1" s="7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2.75" customFormat="1" customHeight="1" s="7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2.75" customFormat="1" customHeight="1" s="7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2.75" customFormat="1" customHeight="1" s="7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2.75" customFormat="1" customHeight="1" s="7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2.75" customFormat="1" customHeight="1" s="7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2.75" customFormat="1" customHeight="1" s="7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2.75" customFormat="1" customHeight="1" s="7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2.75" customFormat="1" customHeight="1" s="7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2.75" customFormat="1" customHeight="1" s="7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2.75" customFormat="1" customHeight="1" s="7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2.75" customFormat="1" customHeight="1" s="7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2.75" customFormat="1" customHeight="1" s="7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2.75" customFormat="1" customHeight="1" s="7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2.75" customFormat="1" customHeight="1" s="7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2.75" customFormat="1" customHeight="1" s="7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2.75" customFormat="1" customHeight="1" s="7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2.75" customFormat="1" customHeight="1" s="7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2.75" customFormat="1" customHeight="1" s="7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2.75" customFormat="1" customHeight="1" s="7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2.75" customFormat="1" customHeight="1" s="7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2.75" customFormat="1" customHeight="1" s="7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2.75" customFormat="1" customHeight="1" s="7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2.75" customFormat="1" customHeight="1" s="7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2.75" customFormat="1" customHeight="1" s="7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2.75" customFormat="1" customHeight="1" s="7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2.75" customFormat="1" customHeight="1" s="7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2.75" customFormat="1" customHeight="1" s="7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2.75" customFormat="1" customHeight="1" s="7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2.75" customFormat="1" customHeight="1" s="7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2.75" customFormat="1" customHeight="1" s="7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2.75" customFormat="1" customHeight="1" s="7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2.75" customFormat="1" customHeight="1" s="7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2.75" customFormat="1" customHeight="1" s="7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2.75" customFormat="1" customHeight="1" s="7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2.75" customFormat="1" customHeight="1" s="7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2.75" customFormat="1" customHeight="1" s="7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2.75" customFormat="1" customHeight="1" s="7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2.75" customFormat="1" customHeight="1" s="7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2.75" customFormat="1" customHeight="1" s="7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2.75" customFormat="1" customHeight="1" s="7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2.75" customFormat="1" customHeight="1" s="7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2.75" customFormat="1" customHeight="1" s="7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2.75" customFormat="1" customHeight="1" s="7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2.75" customFormat="1" customHeight="1" s="7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2.75" customFormat="1" customHeight="1" s="7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2.75" customFormat="1" customHeight="1" s="7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2.75" customFormat="1" customHeight="1" s="7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2.75" customFormat="1" customHeight="1" s="7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2.75" customFormat="1" customHeight="1" s="7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2.75" customFormat="1" customHeight="1" s="7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2.75" customFormat="1" customHeight="1" s="7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2.75" customFormat="1" customHeight="1" s="7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2.75" customFormat="1" customHeight="1" s="7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2.75" customFormat="1" customHeight="1" s="7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2.75" customFormat="1" customHeight="1" s="7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2.75" customFormat="1" customHeight="1" s="7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2.75" customFormat="1" customHeight="1" s="7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2.75" customFormat="1" customHeight="1" s="7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2.75" customFormat="1" customHeight="1" s="7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2.75" customFormat="1" customHeight="1" s="7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2.75" customFormat="1" customHeight="1" s="7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2.75" customFormat="1" customHeight="1" s="7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2.75" customFormat="1" customHeight="1" s="7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2.75" customFormat="1" customHeight="1" s="7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2.75" customFormat="1" customHeight="1" s="7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2.75" customFormat="1" customHeight="1" s="7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2.75" customFormat="1" customHeight="1" s="7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2.75" customFormat="1" customHeight="1" s="7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2.75" customFormat="1" customHeight="1" s="7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2.75" customFormat="1" customHeight="1" s="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2.75" customFormat="1" customHeight="1" s="7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2.75" customFormat="1" customHeight="1" s="7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2.75" customFormat="1" customHeight="1" s="7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2.75" customFormat="1" customHeight="1" s="7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2.75" customFormat="1" customHeight="1" s="7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2.75" customFormat="1" customHeight="1" s="7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2.75" customFormat="1" customHeight="1" s="7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2.75" customFormat="1" customHeight="1" s="7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2.75" customFormat="1" customHeight="1" s="7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2.75" customFormat="1" customHeight="1" s="7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2.75" customFormat="1" customHeight="1" s="7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2.75" customFormat="1" customHeight="1" s="7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2.75" customFormat="1" customHeight="1" s="7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2.75" customFormat="1" customHeight="1" s="7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2.75" customFormat="1" customHeight="1" s="7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2.75" customFormat="1" customHeight="1" s="7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2.75" customFormat="1" customHeight="1" s="7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2.75" customFormat="1" customHeight="1" s="7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2.75" customFormat="1" customHeight="1" s="7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2.75" customFormat="1" customHeight="1" s="7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2.75" customFormat="1" customHeight="1" s="7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2.75" customFormat="1" customHeight="1" s="7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2.75" customFormat="1" customHeight="1" s="7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2.75" customFormat="1" customHeight="1" s="7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2.75" customFormat="1" customHeight="1" s="7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2.75" customFormat="1" customHeight="1" s="7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2.75" customFormat="1" customHeight="1" s="7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2.75" customFormat="1" customHeight="1" s="7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2.75" customFormat="1" customHeight="1" s="7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2.75" customFormat="1" customHeight="1" s="7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2.75" customFormat="1" customHeight="1" s="7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2.75" customFormat="1" customHeight="1" s="7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2.75" customFormat="1" customHeight="1" s="7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2.75" customFormat="1" customHeight="1" s="7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2.75" customFormat="1" customHeight="1" s="7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2.75" customFormat="1" customHeight="1" s="7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2.75" customFormat="1" customHeight="1" s="7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2.75" customFormat="1" customHeight="1" s="7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2.75" customFormat="1" customHeight="1" s="7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2.75" customFormat="1" customHeight="1" s="7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2.75" customFormat="1" customHeight="1" s="7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2.75" customFormat="1" customHeight="1" s="7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2.75" customFormat="1" customHeight="1" s="7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2.75" customFormat="1" customHeight="1" s="7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2.75" customFormat="1" customHeight="1" s="7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2.75" customFormat="1" customHeight="1" s="7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2.75" customFormat="1" customHeight="1" s="7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2.75" customFormat="1" customHeight="1" s="7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2.75" customFormat="1" customHeight="1" s="7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2.75" customFormat="1" customHeight="1" s="7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2.75" customFormat="1" customHeight="1" s="7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2.75" customFormat="1" customHeight="1" s="7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2.75" customFormat="1" customHeight="1" s="7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2.75" customFormat="1" customHeight="1" s="7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2.75" customFormat="1" customHeight="1" s="7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2.75" customFormat="1" customHeight="1" s="7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2.75" customFormat="1" customHeight="1" s="7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2.75" customFormat="1" customHeight="1" s="7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2.75" customFormat="1" customHeight="1" s="7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2.75" customFormat="1" customHeight="1" s="7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2.75" customFormat="1" customHeight="1" s="7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2.75" customFormat="1" customHeight="1" s="7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2.75" customFormat="1" customHeight="1" s="7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2.75" customFormat="1" customHeight="1" s="7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2.75" customFormat="1" customHeight="1" s="7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2.75" customFormat="1" customHeight="1" s="7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2.75" customFormat="1" customHeight="1" s="7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2.75" customFormat="1" customHeight="1" s="7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2.75" customFormat="1" customHeight="1" s="7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2.75" customFormat="1" customHeight="1" s="7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2.75" customFormat="1" customHeight="1" s="7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2.75" customFormat="1" customHeight="1" s="7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2.75" customFormat="1" customHeight="1" s="7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2.75" customFormat="1" customHeight="1" s="7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2.75" customFormat="1" customHeight="1" s="7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2.75" customFormat="1" customHeight="1" s="7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2.75" customFormat="1" customHeight="1" s="7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2.75" customFormat="1" customHeight="1" s="7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2.75" customFormat="1" customHeight="1" s="7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2.75" customFormat="1" customHeight="1" s="7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2.75" customFormat="1" customHeight="1" s="7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2.75" customFormat="1" customHeight="1" s="7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2.75" customFormat="1" customHeight="1" s="7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2.75" customFormat="1" customHeight="1" s="7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2.75" customFormat="1" customHeight="1" s="7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2.75" customFormat="1" customHeight="1" s="7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2.75" customFormat="1" customHeight="1" s="7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2.75" customFormat="1" customHeight="1" s="7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2.75" customFormat="1" customHeight="1" s="7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2.75" customFormat="1" customHeight="1" s="7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2.75" customFormat="1" customHeight="1" s="7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2.75" customFormat="1" customHeight="1" s="7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2.75" customFormat="1" customHeight="1" s="7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2.75" customFormat="1" customHeight="1" s="7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2.75" customFormat="1" customHeight="1" s="7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2.75" customFormat="1" customHeight="1" s="7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2.75" customFormat="1" customHeight="1" s="7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2.75" customFormat="1" customHeight="1" s="7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2.75" customFormat="1" customHeight="1" s="7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2.75" customFormat="1" customHeight="1" s="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2.75" customFormat="1" customHeight="1" s="7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2.75" customFormat="1" customHeight="1" s="7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2.75" customFormat="1" customHeight="1" s="7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2.75" customFormat="1" customHeight="1" s="7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2.75" customFormat="1" customHeight="1" s="7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2.75" customFormat="1" customHeight="1" s="7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2.75" customFormat="1" customHeight="1" s="7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2.75" customFormat="1" customHeight="1" s="7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2.75" customFormat="1" customHeight="1" s="7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2.75" customFormat="1" customHeight="1" s="7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2.75" customFormat="1" customHeight="1" s="7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2.75" customFormat="1" customHeight="1" s="7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2.75" customFormat="1" customHeight="1" s="7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2.75" customFormat="1" customHeight="1" s="7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2.75" customFormat="1" customHeight="1" s="7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2.75" customFormat="1" customHeight="1" s="7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2.75" customFormat="1" customHeight="1" s="7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2.75" customFormat="1" customHeight="1" s="7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2.75" customFormat="1" customHeight="1" s="7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2.75" customFormat="1" customHeight="1" s="7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2.75" customFormat="1" customHeight="1" s="7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2.75" customFormat="1" customHeight="1" s="7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2.75" customFormat="1" customHeight="1" s="7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2.75" customFormat="1" customHeight="1" s="7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2.75" customFormat="1" customHeight="1" s="7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2.75" customFormat="1" customHeight="1" s="7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2.75" customFormat="1" customHeight="1" s="7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2.75" customFormat="1" customHeight="1" s="7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2.75" customFormat="1" customHeight="1" s="7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2.75" customFormat="1" customHeight="1" s="7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2.75" customFormat="1" customHeight="1" s="7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2.75" customFormat="1" customHeight="1" s="7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2.75" customFormat="1" customHeight="1" s="7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2.75" customFormat="1" customHeight="1" s="7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2.75" customFormat="1" customHeight="1" s="7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2.75" customFormat="1" customHeight="1" s="7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2.75" customFormat="1" customHeight="1" s="7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2.75" customFormat="1" customHeight="1" s="7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2.75" customFormat="1" customHeight="1" s="7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2.75" customFormat="1" customHeight="1" s="7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2.75" customFormat="1" customHeight="1" s="7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2.75" customFormat="1" customHeight="1" s="7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2.75" customFormat="1" customHeight="1" s="7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2.75" customFormat="1" customHeight="1" s="7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2.75" customFormat="1" customHeight="1" s="7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2.75" customFormat="1" customHeight="1" s="7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2.75" customFormat="1" customHeight="1" s="7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2.75" customFormat="1" customHeight="1" s="7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2.75" customFormat="1" customHeight="1" s="7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2.75" customFormat="1" customHeight="1" s="7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2.75" customFormat="1" customHeight="1" s="7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2.75" customFormat="1" customHeight="1" s="7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2.75" customFormat="1" customHeight="1" s="7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2.75" customFormat="1" customHeight="1" s="7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2.75" customFormat="1" customHeight="1" s="7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2.75" customFormat="1" customHeight="1" s="7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2.75" customFormat="1" customHeight="1" s="7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2.75" customFormat="1" customHeight="1" s="7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2.75" customFormat="1" customHeight="1" s="7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2.75" customFormat="1" customHeight="1" s="7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2.75" customFormat="1" customHeight="1" s="7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2.75" customFormat="1" customHeight="1" s="7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2.75" customFormat="1" customHeight="1" s="7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2.75" customFormat="1" customHeight="1" s="7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2.75" customFormat="1" customHeight="1" s="7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2.75" customFormat="1" customHeight="1" s="7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2.75" customFormat="1" customHeight="1" s="7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2.75" customFormat="1" customHeight="1" s="7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2.75" customFormat="1" customHeight="1" s="7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2.75" customFormat="1" customHeight="1" s="7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2.75" customFormat="1" customHeight="1" s="7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2.75" customFormat="1" customHeight="1" s="7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2.75" customFormat="1" customHeight="1" s="7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2.75" customFormat="1" customHeight="1" s="7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2.75" customFormat="1" customHeight="1" s="7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2.75" customFormat="1" customHeight="1" s="7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2.75" customFormat="1" customHeight="1" s="7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2.75" customFormat="1" customHeight="1" s="7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2.75" customFormat="1" customHeight="1" s="7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2.75" customFormat="1" customHeight="1" s="7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2.75" customFormat="1" customHeight="1" s="7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2.75" customFormat="1" customHeight="1" s="7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2.75" customFormat="1" customHeight="1" s="7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2.75" customFormat="1" customHeight="1" s="7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2.75" customFormat="1" customHeight="1" s="7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2.75" customFormat="1" customHeight="1" s="7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2.75" customFormat="1" customHeight="1" s="7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2.75" customFormat="1" customHeight="1" s="7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2.75" customFormat="1" customHeight="1" s="7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2.75" customFormat="1" customHeight="1" s="7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2.75" customFormat="1" customHeight="1" s="7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2.75" customFormat="1" customHeight="1" s="7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2.75" customFormat="1" customHeight="1" s="7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2.75" customFormat="1" customHeight="1" s="7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2.75" customFormat="1" customHeight="1" s="7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2.75" customFormat="1" customHeight="1" s="7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2.75" customFormat="1" customHeight="1" s="7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2.75" customFormat="1" customHeight="1" s="7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2.75" customFormat="1" customHeight="1" s="7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2.75" customFormat="1" customHeight="1" s="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2.75" customFormat="1" customHeight="1" s="7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2.75" customFormat="1" customHeight="1" s="7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2.75" customFormat="1" customHeight="1" s="7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2.75" customFormat="1" customHeight="1" s="7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2.75" customFormat="1" customHeight="1" s="7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2.75" customFormat="1" customHeight="1" s="7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2.75" customFormat="1" customHeight="1" s="7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2.75" customFormat="1" customHeight="1" s="7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2.75" customFormat="1" customHeight="1" s="7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2.75" customFormat="1" customHeight="1" s="7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2.75" customFormat="1" customHeight="1" s="7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2.75" customFormat="1" customHeight="1" s="7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2.75" customFormat="1" customHeight="1" s="7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2.75" customFormat="1" customHeight="1" s="7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2.75" customFormat="1" customHeight="1" s="7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2.75" customFormat="1" customHeight="1" s="7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2.75" customFormat="1" customHeight="1" s="7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2.75" customFormat="1" customHeight="1" s="7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2.75" customFormat="1" customHeight="1" s="7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2.75" customFormat="1" customHeight="1" s="7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2.75" customFormat="1" customHeight="1" s="7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2.75" customFormat="1" customHeight="1" s="7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2.75" customFormat="1" customHeight="1" s="7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2.75" customFormat="1" customHeight="1" s="7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2.75" customFormat="1" customHeight="1" s="7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2.75" customFormat="1" customHeight="1" s="7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2.75" customFormat="1" customHeight="1" s="7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2.75" customFormat="1" customHeight="1" s="7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2.75" customFormat="1" customHeight="1" s="7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2.75" customFormat="1" customHeight="1" s="7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2.75" customFormat="1" customHeight="1" s="7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2.75" customFormat="1" customHeight="1" s="7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2.75" customFormat="1" customHeight="1" s="7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2.75" customFormat="1" customHeight="1" s="7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2.75" customFormat="1" customHeight="1" s="7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2.75" customFormat="1" customHeight="1" s="7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2.75" customFormat="1" customHeight="1" s="7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2.75" customFormat="1" customHeight="1" s="7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2.75" customFormat="1" customHeight="1" s="7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2.75" customFormat="1" customHeight="1" s="7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2.75" customFormat="1" customHeight="1" s="7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2.75" customFormat="1" customHeight="1" s="7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2.75" customFormat="1" customHeight="1" s="7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2.75" customFormat="1" customHeight="1" s="7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2.75" customFormat="1" customHeight="1" s="7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2.75" customFormat="1" customHeight="1" s="7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2.75" customFormat="1" customHeight="1" s="7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2.75" customFormat="1" customHeight="1" s="7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2.75" customFormat="1" customHeight="1" s="7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2.75" customFormat="1" customHeight="1" s="7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2.75" customFormat="1" customHeight="1" s="7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2.75" customFormat="1" customHeight="1" s="7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2.75" customFormat="1" customHeight="1" s="7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2.75" customFormat="1" customHeight="1" s="7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2.75" customFormat="1" customHeight="1" s="7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2.75" customFormat="1" customHeight="1" s="7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2.75" customFormat="1" customHeight="1" s="7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2.75" customFormat="1" customHeight="1" s="7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2.75" customFormat="1" customHeight="1" s="7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2.75" customFormat="1" customHeight="1" s="7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2.75" customFormat="1" customHeight="1" s="7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2.75" customFormat="1" customHeight="1" s="7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2.75" customFormat="1" customHeight="1" s="7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2.75" customFormat="1" customHeight="1" s="7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2.75" customFormat="1" customHeight="1" s="7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2.75" customFormat="1" customHeight="1" s="7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2.75" customFormat="1" customHeight="1" s="7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2.75" customFormat="1" customHeight="1" s="7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2.75" customFormat="1" customHeight="1" s="7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2.75" customFormat="1" customHeight="1" s="7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2.75" customFormat="1" customHeight="1" s="7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2.75" customFormat="1" customHeight="1" s="7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2.75" customFormat="1" customHeight="1" s="7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2.75" customFormat="1" customHeight="1" s="7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2.75" customFormat="1" customHeight="1" s="7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2.75" customFormat="1" customHeight="1" s="7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2.75" customFormat="1" customHeight="1" s="7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2.75" customFormat="1" customHeight="1" s="7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2.75" customFormat="1" customHeight="1" s="7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2.75" customFormat="1" customHeight="1" s="7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2.75" customFormat="1" customHeight="1" s="7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2.75" customFormat="1" customHeight="1" s="7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2.75" customFormat="1" customHeight="1" s="7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2.75" customFormat="1" customHeight="1" s="7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2.75" customFormat="1" customHeight="1" s="7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2.75" customFormat="1" customHeight="1" s="7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2.75" customFormat="1" customHeight="1" s="7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2.75" customFormat="1" customHeight="1" s="7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2.75" customFormat="1" customHeight="1" s="7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2.75" customFormat="1" customHeight="1" s="7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2.75" customFormat="1" customHeight="1" s="7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2.75" customFormat="1" customHeight="1" s="7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2.75" customFormat="1" customHeight="1" s="7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2.75" customFormat="1" customHeight="1" s="7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2.75" customFormat="1" customHeight="1" s="7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2.75" customFormat="1" customHeight="1" s="7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2.75" customFormat="1" customHeight="1" s="7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2.75" customFormat="1" customHeight="1" s="7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2.75" customFormat="1" customHeight="1" s="7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2.75" customFormat="1" customHeight="1" s="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2.75" customFormat="1" customHeight="1" s="7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2.75" customFormat="1" customHeight="1" s="7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2.75" customFormat="1" customHeight="1" s="7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2.75" customFormat="1" customHeight="1" s="7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2.75" customFormat="1" customHeight="1" s="7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2.75" customFormat="1" customHeight="1" s="7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2.75" customFormat="1" customHeight="1" s="7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2.75" customFormat="1" customHeight="1" s="7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2.75" customFormat="1" customHeight="1" s="7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2.75" customFormat="1" customHeight="1" s="7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2.75" customFormat="1" customHeight="1" s="7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2.75" customFormat="1" customHeight="1" s="7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2.75" customFormat="1" customHeight="1" s="7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2.75" customFormat="1" customHeight="1" s="7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2.75" customFormat="1" customHeight="1" s="7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2.75" customFormat="1" customHeight="1" s="7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2.75" customFormat="1" customHeight="1" s="7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2.75" customFormat="1" customHeight="1" s="7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2.75" customFormat="1" customHeight="1" s="7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2.75" customFormat="1" customHeight="1" s="7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2.75" customFormat="1" customHeight="1" s="7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2.75" customFormat="1" customHeight="1" s="7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2.75" customFormat="1" customHeight="1" s="7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2.75" customFormat="1" customHeight="1" s="7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2.75" customFormat="1" customHeight="1" s="7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2.75" customFormat="1" customHeight="1" s="7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2.75" customFormat="1" customHeight="1" s="7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2.75" customFormat="1" customHeight="1" s="7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2.75" customFormat="1" customHeight="1" s="7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2.75" customFormat="1" customHeight="1" s="7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2.75" customFormat="1" customHeight="1" s="7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2.75" customFormat="1" customHeight="1" s="7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2.75" customFormat="1" customHeight="1" s="7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2.75" customFormat="1" customHeight="1" s="7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2.75" customFormat="1" customHeight="1" s="7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2.75" customFormat="1" customHeight="1" s="7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2.75" customFormat="1" customHeight="1" s="7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2.75" customFormat="1" customHeight="1" s="7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2.75" customFormat="1" customHeight="1" s="7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2.75" customFormat="1" customHeight="1" s="7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2.75" customFormat="1" customHeight="1" s="7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2.75" customFormat="1" customHeight="1" s="7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2.75" customFormat="1" customHeight="1" s="7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2.75" customFormat="1" customHeight="1" s="7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2.75" customFormat="1" customHeight="1" s="7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2.75" customFormat="1" customHeight="1" s="7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2.75" customFormat="1" customHeight="1" s="7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2.75" customFormat="1" customHeight="1" s="7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2.75" customFormat="1" customHeight="1" s="7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2.75" customFormat="1" customHeight="1" s="7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2.75" customFormat="1" customHeight="1" s="7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2.75" customFormat="1" customHeight="1" s="7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2.75" customFormat="1" customHeight="1" s="7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2.75" customFormat="1" customHeight="1" s="7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2.75" customFormat="1" customHeight="1" s="7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2.75" customFormat="1" customHeight="1" s="7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2.75" customFormat="1" customHeight="1" s="7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2.75" customFormat="1" customHeight="1" s="7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2.75" customFormat="1" customHeight="1" s="7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2.75" customFormat="1" customHeight="1" s="7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2.75" customFormat="1" customHeight="1" s="7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2.75" customFormat="1" customHeight="1" s="7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2.75" customFormat="1" customHeight="1" s="7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2.75" customFormat="1" customHeight="1" s="7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2.75" customFormat="1" customHeight="1" s="7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2.75" customFormat="1" customHeight="1" s="7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2.75" customFormat="1" customHeight="1" s="7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2.75" customFormat="1" customHeight="1" s="7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2.75" customFormat="1" customHeight="1" s="7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2.75" customFormat="1" customHeight="1" s="7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2.75" customFormat="1" customHeight="1" s="7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2.75" customFormat="1" customHeight="1" s="7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2.75" customFormat="1" customHeight="1" s="7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2.75" customFormat="1" customHeight="1" s="7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2.75" customFormat="1" customHeight="1" s="7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2.75" customFormat="1" customHeight="1" s="7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2.75" customFormat="1" customHeight="1" s="7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2.75" customFormat="1" customHeight="1" s="7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2.75" customFormat="1" customHeight="1" s="7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2.75" customFormat="1" customHeight="1" s="7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2.75" customFormat="1" customHeight="1" s="7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2.75" customFormat="1" customHeight="1" s="7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2.75" customFormat="1" customHeight="1" s="7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2.75" customFormat="1" customHeight="1" s="7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2.75" customFormat="1" customHeight="1" s="7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2.75" customFormat="1" customHeight="1" s="7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2.75" customFormat="1" customHeight="1" s="7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2.75" customFormat="1" customHeight="1" s="7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2.75" customFormat="1" customHeight="1" s="7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2.75" customFormat="1" customHeight="1" s="7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2.75" customFormat="1" customHeight="1" s="7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2.75" customFormat="1" customHeight="1" s="7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2.75" customFormat="1" customHeight="1" s="7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2.75" customFormat="1" customHeight="1" s="7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2.75" customFormat="1" customHeight="1" s="7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2.75" customFormat="1" customHeight="1" s="7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2.75" customFormat="1" customHeight="1" s="7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2.75" customFormat="1" customHeight="1" s="7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2.75" customFormat="1" customHeight="1" s="7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2.75" customFormat="1" customHeight="1" s="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2.75" customFormat="1" customHeight="1" s="7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2.75" customFormat="1" customHeight="1" s="7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2.75" customFormat="1" customHeight="1" s="7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2.75" customFormat="1" customHeight="1" s="7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2.75" customFormat="1" customHeight="1" s="7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2.75" customFormat="1" customHeight="1" s="7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2.75" customFormat="1" customHeight="1" s="7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2.75" customFormat="1" customHeight="1" s="7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2.75" customFormat="1" customHeight="1" s="7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2.75" customFormat="1" customHeight="1" s="7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2.75" customFormat="1" customHeight="1" s="7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2.75" customFormat="1" customHeight="1" s="7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2.75" customFormat="1" customHeight="1" s="7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2.75" customFormat="1" customHeight="1" s="7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2.75" customFormat="1" customHeight="1" s="7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2.75" customFormat="1" customHeight="1" s="7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2.75" customFormat="1" customHeight="1" s="7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2.75" customFormat="1" customHeight="1" s="7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2.75" customFormat="1" customHeight="1" s="7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2.75" customFormat="1" customHeight="1" s="7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2.75" customFormat="1" customHeight="1" s="7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2.75" customFormat="1" customHeight="1" s="7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2.75" customFormat="1" customHeight="1" s="7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2.75" customFormat="1" customHeight="1" s="7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65"/>
  <sheetViews>
    <sheetView workbookViewId="0">
      <selection activeCell="A1" sqref="A1"/>
    </sheetView>
  </sheetViews>
  <sheetFormatPr baseColWidth="8" defaultColWidth="14.42578125" defaultRowHeight="12.75"/>
  <cols>
    <col width="8.7109375" customWidth="1" style="76" min="1" max="26"/>
  </cols>
  <sheetData>
    <row r="1" ht="12.75" customFormat="1" customHeight="1" s="76">
      <c r="A1" s="6" t="inlineStr">
        <is>
          <t>На основе присланного мной материала создай универсальный, логически выстроенный план для сценария видео. План должен быть не просто списком фактов или тем, а последовательностью смысловых блоков, которые раскрывают главную мысль материала в понятном и драматургически сильном порядке. Нельзя делать план узко привязанным только к одному типу истории: он должен работать с любым материалом — биографией, исторической темой, научной темой, культурным разбором, образовательным сюжетом, общественной проблемой, документальным видео, лекцией или аналитическим роликом.</t>
        </is>
      </c>
    </row>
    <row r="2" ht="12.75" customFormat="1" customHeight="1" s="76"/>
    <row r="3" ht="12.75" customFormat="1" customHeight="1" s="76">
      <c r="A3" s="6" t="inlineStr">
        <is>
          <t>Главный принцип: строй план не по принципу «что есть в материале», а по принципу «в каком порядке нужно раскрыть материал, чтобы зритель понял тему, удерживал внимание и пришёл к сильному выводу». План должен быть маршрутом мысли, а не механическим пересказом исходника.</t>
        </is>
      </c>
    </row>
    <row r="4" ht="12.75" customFormat="1" customHeight="1" s="76"/>
    <row r="5" ht="12.75" customFormat="1" customHeight="1" s="76">
      <c r="A5" s="6" t="inlineStr">
        <is>
          <t>Обязательно соблюдай следующие правила:</t>
        </is>
      </c>
    </row>
    <row r="6" ht="12.75" customFormat="1" customHeight="1" s="76"/>
    <row r="7" ht="12.75" customFormat="1" customHeight="1" s="76">
      <c r="A7" s="6" t="inlineStr">
        <is>
          <t>1. Сначала выдели главную тему материала и сформулируй его центральную мысль в 1–3 предложениях.</t>
        </is>
      </c>
    </row>
    <row r="8" ht="12.75" customFormat="1" customHeight="1" s="76">
      <c r="A8" s="6" t="inlineStr">
        <is>
          <t>2. Затем определи, в чём смысл этого материала для зрителя: что именно он должен понять, почувствовать или вынести после просмотра.</t>
        </is>
      </c>
    </row>
    <row r="9" ht="12.75" customFormat="1" customHeight="1" s="76">
      <c r="A9" s="6" t="inlineStr">
        <is>
          <t>3. После этого раздели материал на крупные смысловые блоки. Каждый блок должен быть отдельным этапом раскрытия темы, а не случайным набором фактов.</t>
        </is>
      </c>
    </row>
    <row r="10" ht="12.75" customFormat="1" customHeight="1" s="76">
      <c r="A10" s="6" t="inlineStr">
        <is>
          <t>4. Для каждого блока обязательно указывай:</t>
        </is>
      </c>
    </row>
    <row r="11" ht="12.75" customFormat="1" customHeight="1" s="76">
      <c r="A11" s="6" t="inlineStr">
        <is>
          <t xml:space="preserve">   - название блока;</t>
        </is>
      </c>
    </row>
    <row r="12" ht="12.75" customFormat="1" customHeight="1" s="76">
      <c r="A12" s="6" t="inlineStr">
        <is>
          <t xml:space="preserve">   - его основную мысль;</t>
        </is>
      </c>
    </row>
    <row r="13" ht="12.75" customFormat="1" customHeight="1" s="76">
      <c r="A13" s="6" t="inlineStr">
        <is>
          <t xml:space="preserve">   - какие подтемы или элементы в него входят;</t>
        </is>
      </c>
    </row>
    <row r="14" ht="12.75" customFormat="1" customHeight="1" s="76">
      <c r="A14" s="6" t="inlineStr">
        <is>
          <t xml:space="preserve">   - зачем этот блок нужен в общей логике видео;</t>
        </is>
      </c>
    </row>
    <row r="15" ht="12.75" customFormat="1" customHeight="1" s="76">
      <c r="A15" s="6" t="inlineStr">
        <is>
          <t xml:space="preserve">   - как он подводит к следующему блоку.</t>
        </is>
      </c>
    </row>
    <row r="16" ht="12.75" customFormat="1" customHeight="1" s="76">
      <c r="A16" s="6" t="inlineStr">
        <is>
          <t>5. Блоки должны идти в логичном порядке. Порядок должен строиться по смыслу, а не по хаотичному перечислению. Используй ту последовательность, которая лучше всего раскрывает тему: от общего к частному, от проблемы к решению, от истоков к последствиям, от вопроса к ответу, от контекста к главному выводу.</t>
        </is>
      </c>
    </row>
    <row r="17" ht="12.75" customFormat="1" customHeight="1" s="76">
      <c r="A17" s="6" t="inlineStr">
        <is>
          <t>6. Каждый следующий блок должен логически вытекать из предыдущего. Не допускай повторов, смысловых провалов и дублирования одних и тех же мыслей.</t>
        </is>
      </c>
    </row>
    <row r="18" ht="12.75" customFormat="1" customHeight="1" s="76">
      <c r="A18" s="6" t="inlineStr">
        <is>
          <t>7. Финальный блок обязан подводить итог и собирать весь материал в общий вывод. План не должен заканчиваться последним фактом — он должен завершаться смыслом.</t>
        </is>
      </c>
    </row>
    <row r="19" ht="12.75" customFormat="1" customHeight="1" s="76">
      <c r="A19" s="6" t="inlineStr">
        <is>
          <t>8. Если в материале есть конфликт, перелом, противоречие, неожиданное открытие, смена масштаба, личная цена, практическое значение, общественная реакция или сильный вывод, обязательно используй это как опорные драматургические узлы.</t>
        </is>
      </c>
    </row>
    <row r="20" ht="12.75" customFormat="1" customHeight="1" s="76">
      <c r="A20" s="6" t="inlineStr">
        <is>
          <t>9. Если материал не биографический, не притягивай искусственно «жизненный путь героя» — адаптируй структуру под саму тему. Если материал биографический, исторический или документальный, допускается драматургическая логика пути, испытаний, переломов и наследия.</t>
        </is>
      </c>
    </row>
    <row r="21" ht="12.75" customFormat="1" customHeight="1" s="76">
      <c r="A21" s="6" t="inlineStr">
        <is>
          <t>10. Не выдумывай факты и не добавляй лишние сведения от себя. Опирайся только на присланный материал и строй структуру из него.</t>
        </is>
      </c>
    </row>
    <row r="22" ht="12.75" customFormat="1" customHeight="1" s="76"/>
    <row r="23" ht="12.75" customFormat="1" customHeight="1" s="76">
      <c r="A23" s="6" t="inlineStr">
        <is>
          <t>Теперь обязательные технические требования:</t>
        </is>
      </c>
    </row>
    <row r="24" ht="12.75" customFormat="1" customHeight="1" s="76"/>
    <row r="25" ht="12.75" customFormat="1" customHeight="1" s="76">
      <c r="A25" s="6" t="inlineStr">
        <is>
          <t>1. План должен быть рассчитан под видео длительностью ровно 12 минут.</t>
        </is>
      </c>
    </row>
    <row r="26" ht="12.75" customFormat="1" customHeight="1" s="76">
      <c r="A26" s="6" t="inlineStr">
        <is>
          <t>2. Обязательно проставь таймкоды для каждого блока.</t>
        </is>
      </c>
    </row>
    <row r="27" ht="12.75" customFormat="1" customHeight="1" s="76">
      <c r="A27" s="6" t="inlineStr">
        <is>
          <t>3. Таймкоды должны идти от 0:00 до 12:00 без пропусков и без наложений.</t>
        </is>
      </c>
    </row>
    <row r="28" ht="12.75" customFormat="1" customHeight="1" s="76">
      <c r="A28" s="6" t="inlineStr">
        <is>
          <t>4. У каждого блока укажи примерный объём текста в знаках.</t>
        </is>
      </c>
    </row>
    <row r="29" ht="12.75" customFormat="1" customHeight="1" s="76">
      <c r="A29" s="6" t="inlineStr">
        <is>
          <t>5. Общий объём текста на весь ролик должен составлять от 9500 до 10500 знаков.</t>
        </is>
      </c>
    </row>
    <row r="30" ht="12.75" customFormat="1" customHeight="1" s="76">
      <c r="A30" s="6" t="inlineStr">
        <is>
          <t>6. Распредели объём между блоками соразмерно их значимости: ключевые блоки могут быть длиннее, переходные — короче.</t>
        </is>
      </c>
    </row>
    <row r="31" ht="12.75" customFormat="1" customHeight="1" s="76">
      <c r="A31" s="6" t="inlineStr">
        <is>
          <t>7. Следи, чтобы суммарный объём всех блоков укладывался в диапазон 9500–10500 знаков.</t>
        </is>
      </c>
    </row>
    <row r="32" ht="12.75" customFormat="1" customHeight="1" s="76">
      <c r="A32" s="6" t="inlineStr">
        <is>
          <t>8. Следи, чтобы суммарный тайминг всех блоков точно составлял 12:00.</t>
        </is>
      </c>
    </row>
    <row r="33" ht="12.75" customFormat="1" customHeight="1" s="76"/>
    <row r="34" ht="12.75" customFormat="1" customHeight="1" s="76">
      <c r="A34" s="6" t="inlineStr">
        <is>
          <t>Структура ответа должна быть такой:</t>
        </is>
      </c>
    </row>
    <row r="35" ht="12.75" customFormat="1" customHeight="1" s="76"/>
    <row r="36" ht="12.75" customFormat="1" customHeight="1" s="76">
      <c r="A36" s="6" t="inlineStr">
        <is>
          <t>1. Главная тема</t>
        </is>
      </c>
    </row>
    <row r="37" ht="12.75" customFormat="1" customHeight="1" s="76">
      <c r="A37" s="6" t="inlineStr">
        <is>
          <t>2. Главная мысль</t>
        </is>
      </c>
    </row>
    <row r="38" ht="12.75" customFormat="1" customHeight="1" s="76">
      <c r="A38" s="6" t="inlineStr">
        <is>
          <t>3. Смысл для зрителя</t>
        </is>
      </c>
    </row>
    <row r="39" ht="12.75" customFormat="1" customHeight="1" s="76">
      <c r="A39" s="6" t="inlineStr">
        <is>
          <t>4. Основные смысловые блоки</t>
        </is>
      </c>
    </row>
    <row r="40" ht="12.75" customFormat="1" customHeight="1" s="76">
      <c r="A40" s="6" t="inlineStr">
        <is>
          <t xml:space="preserve">   Для каждого блока:</t>
        </is>
      </c>
    </row>
    <row r="41" ht="12.75" customFormat="1" customHeight="1" s="76">
      <c r="A41" s="6" t="inlineStr">
        <is>
          <t xml:space="preserve">   - название;</t>
        </is>
      </c>
    </row>
    <row r="42" ht="12.75" customFormat="1" customHeight="1" s="76">
      <c r="A42" s="6" t="inlineStr">
        <is>
          <t xml:space="preserve">   - подтемы;</t>
        </is>
      </c>
    </row>
    <row r="43" ht="12.75" customFormat="1" customHeight="1" s="76">
      <c r="A43" s="6" t="inlineStr">
        <is>
          <t xml:space="preserve">   - функция блока;</t>
        </is>
      </c>
    </row>
    <row r="44" ht="12.75" customFormat="1" customHeight="1" s="76">
      <c r="A44" s="6" t="inlineStr">
        <is>
          <t xml:space="preserve">   - логическая роль в общей структуре</t>
        </is>
      </c>
    </row>
    <row r="45" ht="12.75" customFormat="1" customHeight="1" s="76">
      <c r="A45" s="6" t="inlineStr">
        <is>
          <t>5. Поэпизодный план на 12 минут</t>
        </is>
      </c>
    </row>
    <row r="46" ht="12.75" customFormat="1" customHeight="1" s="76">
      <c r="A46" s="6" t="inlineStr">
        <is>
          <t xml:space="preserve">   Для каждого эпизода:</t>
        </is>
      </c>
    </row>
    <row r="47" ht="12.75" customFormat="1" customHeight="1" s="76">
      <c r="A47" s="6" t="inlineStr">
        <is>
          <t xml:space="preserve">   - номер;</t>
        </is>
      </c>
    </row>
    <row r="48" ht="12.75" customFormat="1" customHeight="1" s="76">
      <c r="A48" s="6" t="inlineStr">
        <is>
          <t xml:space="preserve">   - название;</t>
        </is>
      </c>
    </row>
    <row r="49" ht="12.75" customFormat="1" customHeight="1" s="76">
      <c r="A49" s="6" t="inlineStr">
        <is>
          <t xml:space="preserve">   - таймкод;</t>
        </is>
      </c>
    </row>
    <row r="50" ht="12.75" customFormat="1" customHeight="1" s="76">
      <c r="A50" s="6" t="inlineStr">
        <is>
          <t xml:space="preserve">   - примерный объём в знаках;</t>
        </is>
      </c>
    </row>
    <row r="51" ht="12.75" customFormat="1" customHeight="1" s="76">
      <c r="A51" s="6" t="inlineStr">
        <is>
          <t xml:space="preserve">   - что именно должно быть раскрыто в этом фрагменте</t>
        </is>
      </c>
    </row>
    <row r="52" ht="12.75" customFormat="1" customHeight="1" s="76">
      <c r="A52" s="6" t="inlineStr">
        <is>
          <t>6. Краткий итог:</t>
        </is>
      </c>
    </row>
    <row r="53" ht="12.75" customFormat="1" customHeight="1" s="76">
      <c r="A53" s="6" t="inlineStr">
        <is>
          <t xml:space="preserve">   - почему именно такая структура лучше всего раскрывает исходный материал</t>
        </is>
      </c>
    </row>
    <row r="54" ht="12.75" customFormat="1" customHeight="1" s="76"/>
    <row r="55" ht="12.75" customFormat="1" customHeight="1" s="76">
      <c r="A55" s="6" t="inlineStr">
        <is>
          <t>Требования к качеству:</t>
        </is>
      </c>
    </row>
    <row r="56" ht="12.75" customFormat="1" customHeight="1" s="76">
      <c r="A56" s="6" t="inlineStr">
        <is>
          <t>- план должен быть ясным, строгим и пригодным для дальнейшего написания полного сценария;</t>
        </is>
      </c>
    </row>
    <row r="57" ht="12.75" customFormat="1" customHeight="1" s="76">
      <c r="A57" s="6" t="inlineStr">
        <is>
          <t>- он должен помогать писать текст, а не мешать;</t>
        </is>
      </c>
    </row>
    <row r="58" ht="12.75" customFormat="1" customHeight="1" s="76">
      <c r="A58" s="6" t="inlineStr">
        <is>
          <t>- названия блоков должны быть содержательными;</t>
        </is>
      </c>
    </row>
    <row r="59" ht="12.75" customFormat="1" customHeight="1" s="76">
      <c r="A59" s="6" t="inlineStr">
        <is>
          <t>- каждый пункт должен быть самостоятельным смысловым шагом;</t>
        </is>
      </c>
    </row>
    <row r="60" ht="12.75" customFormat="1" customHeight="1" s="76">
      <c r="A60" s="6" t="inlineStr">
        <is>
          <t>- структура должна удерживать внимание зрителя на протяжении всех 12 минут;</t>
        </is>
      </c>
    </row>
    <row r="61" ht="12.75" customFormat="1" customHeight="1" s="76">
      <c r="A61" s="6" t="inlineStr">
        <is>
          <t>- финал должен давать сильное обобщение или вывод;</t>
        </is>
      </c>
    </row>
    <row r="62" ht="12.75" customFormat="1" customHeight="1" s="76">
      <c r="A62" s="6" t="inlineStr">
        <is>
          <t>- стиль изложения должен быть профессиональным, без воды и без шаблонной банальности.</t>
        </is>
      </c>
    </row>
    <row r="63" ht="12.75" customFormat="1" customHeight="1" s="76"/>
    <row r="64" ht="12.75" customFormat="1" customHeight="1" s="76">
      <c r="A64" s="6" t="inlineStr">
        <is>
          <t>Исходный материал для анализа:</t>
        </is>
      </c>
    </row>
    <row r="65" ht="12.75" customFormat="1" customHeight="1" s="76">
      <c r="A65" s="6" t="inlineStr">
        <is>
          <t>[вставь сюда текст / тему / исходные заметки / статью / биографию / тезисы]</t>
        </is>
      </c>
    </row>
    <row r="66" ht="12.75" customFormat="1" customHeight="1" s="76"/>
    <row r="67" ht="12.75" customFormat="1" customHeight="1" s="76"/>
    <row r="68" ht="12.75" customFormat="1" customHeight="1" s="76"/>
    <row r="69" ht="12.75" customFormat="1" customHeight="1" s="76"/>
    <row r="70" ht="12.75" customFormat="1" customHeight="1" s="76"/>
    <row r="71" ht="12.75" customFormat="1" customHeight="1" s="76"/>
    <row r="72" ht="12.75" customFormat="1" customHeight="1" s="76"/>
    <row r="73" ht="12.75" customFormat="1" customHeight="1" s="76"/>
    <row r="74" ht="12.75" customFormat="1" customHeight="1" s="76"/>
    <row r="75" ht="12.75" customFormat="1" customHeight="1" s="76"/>
    <row r="76" ht="12.75" customFormat="1" customHeight="1" s="76"/>
    <row r="77" ht="12.75" customFormat="1" customHeight="1" s="76"/>
    <row r="78" ht="12.75" customFormat="1" customHeight="1" s="76"/>
    <row r="79" ht="12.75" customFormat="1" customHeight="1" s="76"/>
    <row r="80" ht="12.75" customFormat="1" customHeight="1" s="76"/>
    <row r="81" ht="12.75" customFormat="1" customHeight="1" s="76"/>
    <row r="82" ht="12.75" customFormat="1" customHeight="1" s="76"/>
    <row r="83" ht="12.75" customFormat="1" customHeight="1" s="76"/>
    <row r="84" ht="12.75" customFormat="1" customHeight="1" s="76"/>
    <row r="85" ht="12.75" customFormat="1" customHeight="1" s="76"/>
    <row r="86" ht="12.75" customFormat="1" customHeight="1" s="76"/>
    <row r="87" ht="12.75" customFormat="1" customHeight="1" s="76"/>
    <row r="88" ht="12.75" customFormat="1" customHeight="1" s="76"/>
    <row r="89" ht="12.75" customFormat="1" customHeight="1" s="76"/>
    <row r="90" ht="12.75" customFormat="1" customHeight="1" s="76"/>
    <row r="91" ht="12.75" customFormat="1" customHeight="1" s="76"/>
    <row r="92" ht="12.75" customFormat="1" customHeight="1" s="76"/>
    <row r="93" ht="12.75" customFormat="1" customHeight="1" s="76"/>
    <row r="94" ht="12.75" customFormat="1" customHeight="1" s="76"/>
    <row r="95" ht="12.75" customFormat="1" customHeight="1" s="76"/>
    <row r="96" ht="12.75" customFormat="1" customHeight="1" s="76"/>
    <row r="97" ht="12.75" customFormat="1" customHeight="1" s="76"/>
    <row r="98" ht="12.75" customFormat="1" customHeight="1" s="76"/>
    <row r="99" ht="12.75" customFormat="1" customHeight="1" s="76"/>
    <row r="100" ht="12.75" customFormat="1" customHeight="1" s="76"/>
    <row r="101" ht="12.75" customFormat="1" customHeight="1" s="76"/>
    <row r="102" ht="12.75" customFormat="1" customHeight="1" s="76"/>
    <row r="103" ht="12.75" customFormat="1" customHeight="1" s="76"/>
    <row r="104" ht="12.75" customFormat="1" customHeight="1" s="76"/>
    <row r="105" ht="12.75" customFormat="1" customHeight="1" s="76"/>
    <row r="106" ht="12.75" customFormat="1" customHeight="1" s="76"/>
    <row r="107" ht="12.75" customFormat="1" customHeight="1" s="76"/>
    <row r="108" ht="12.75" customFormat="1" customHeight="1" s="76"/>
    <row r="109" ht="12.75" customFormat="1" customHeight="1" s="76"/>
    <row r="110" ht="12.75" customFormat="1" customHeight="1" s="76"/>
    <row r="111" ht="12.75" customFormat="1" customHeight="1" s="76"/>
    <row r="112" ht="12.75" customFormat="1" customHeight="1" s="76"/>
    <row r="113" ht="12.75" customFormat="1" customHeight="1" s="76"/>
    <row r="114" ht="12.75" customFormat="1" customHeight="1" s="76"/>
    <row r="115" ht="12.75" customFormat="1" customHeight="1" s="76"/>
    <row r="116" ht="12.75" customFormat="1" customHeight="1" s="76"/>
    <row r="117" ht="12.75" customFormat="1" customHeight="1" s="76"/>
    <row r="118" ht="12.75" customFormat="1" customHeight="1" s="76"/>
    <row r="119" ht="12.75" customFormat="1" customHeight="1" s="76"/>
    <row r="120" ht="12.75" customFormat="1" customHeight="1" s="76"/>
    <row r="121" ht="12.75" customFormat="1" customHeight="1" s="76"/>
    <row r="122" ht="12.75" customFormat="1" customHeight="1" s="76"/>
    <row r="123" ht="12.75" customFormat="1" customHeight="1" s="76"/>
    <row r="124" ht="12.75" customFormat="1" customHeight="1" s="76"/>
    <row r="125" ht="12.75" customFormat="1" customHeight="1" s="76"/>
    <row r="126" ht="12.75" customFormat="1" customHeight="1" s="76"/>
    <row r="127" ht="12.75" customFormat="1" customHeight="1" s="76"/>
    <row r="128" ht="12.75" customFormat="1" customHeight="1" s="76"/>
    <row r="129" ht="12.75" customFormat="1" customHeight="1" s="76"/>
    <row r="130" ht="12.75" customFormat="1" customHeight="1" s="76"/>
    <row r="131" ht="12.75" customFormat="1" customHeight="1" s="76"/>
    <row r="132" ht="12.75" customFormat="1" customHeight="1" s="76"/>
    <row r="133" ht="12.75" customFormat="1" customHeight="1" s="76"/>
    <row r="134" ht="12.75" customFormat="1" customHeight="1" s="76"/>
    <row r="135" ht="12.75" customFormat="1" customHeight="1" s="76"/>
    <row r="136" ht="12.75" customFormat="1" customHeight="1" s="76"/>
    <row r="137" ht="12.75" customFormat="1" customHeight="1" s="76"/>
    <row r="138" ht="12.75" customFormat="1" customHeight="1" s="76"/>
    <row r="139" ht="12.75" customFormat="1" customHeight="1" s="76"/>
    <row r="140" ht="12.75" customFormat="1" customHeight="1" s="76"/>
    <row r="141" ht="12.75" customFormat="1" customHeight="1" s="76"/>
    <row r="142" ht="12.75" customFormat="1" customHeight="1" s="76"/>
    <row r="143" ht="12.75" customFormat="1" customHeight="1" s="76"/>
    <row r="144" ht="12.75" customFormat="1" customHeight="1" s="76"/>
    <row r="145" ht="12.75" customFormat="1" customHeight="1" s="76"/>
    <row r="146" ht="12.75" customFormat="1" customHeight="1" s="76"/>
    <row r="147" ht="12.75" customFormat="1" customHeight="1" s="76"/>
    <row r="148" ht="12.75" customFormat="1" customHeight="1" s="76"/>
    <row r="149" ht="12.75" customFormat="1" customHeight="1" s="76"/>
    <row r="150" ht="12.75" customFormat="1" customHeight="1" s="76"/>
    <row r="151" ht="12.75" customFormat="1" customHeight="1" s="76"/>
    <row r="152" ht="12.75" customFormat="1" customHeight="1" s="76"/>
    <row r="153" ht="12.75" customFormat="1" customHeight="1" s="76"/>
    <row r="154" ht="12.75" customFormat="1" customHeight="1" s="76"/>
    <row r="155" ht="12.75" customFormat="1" customHeight="1" s="76"/>
    <row r="156" ht="12.75" customFormat="1" customHeight="1" s="76"/>
    <row r="157" ht="12.75" customFormat="1" customHeight="1" s="76"/>
    <row r="158" ht="12.75" customFormat="1" customHeight="1" s="76"/>
    <row r="159" ht="12.75" customFormat="1" customHeight="1" s="76"/>
    <row r="160" ht="12.75" customFormat="1" customHeight="1" s="76"/>
    <row r="161" ht="12.75" customFormat="1" customHeight="1" s="76"/>
    <row r="162" ht="12.75" customFormat="1" customHeight="1" s="76"/>
    <row r="163" ht="12.75" customFormat="1" customHeight="1" s="76"/>
    <row r="164" ht="12.75" customFormat="1" customHeight="1" s="76"/>
    <row r="165" ht="12.75" customFormat="1" customHeight="1" s="76"/>
    <row r="166" ht="12.75" customFormat="1" customHeight="1" s="76"/>
    <row r="167" ht="12.75" customFormat="1" customHeight="1" s="76"/>
    <row r="168" ht="12.75" customFormat="1" customHeight="1" s="76"/>
    <row r="169" ht="12.75" customFormat="1" customHeight="1" s="76"/>
    <row r="170" ht="12.75" customFormat="1" customHeight="1" s="76"/>
    <row r="171" ht="12.75" customFormat="1" customHeight="1" s="76"/>
    <row r="172" ht="12.75" customFormat="1" customHeight="1" s="76"/>
    <row r="173" ht="12.75" customFormat="1" customHeight="1" s="76"/>
    <row r="174" ht="12.75" customFormat="1" customHeight="1" s="76"/>
    <row r="175" ht="12.75" customFormat="1" customHeight="1" s="76"/>
    <row r="176" ht="12.75" customFormat="1" customHeight="1" s="76"/>
    <row r="177" ht="12.75" customFormat="1" customHeight="1" s="76"/>
    <row r="178" ht="12.75" customFormat="1" customHeight="1" s="76"/>
    <row r="179" ht="12.75" customFormat="1" customHeight="1" s="76"/>
    <row r="180" ht="12.75" customFormat="1" customHeight="1" s="76"/>
    <row r="181" ht="12.75" customFormat="1" customHeight="1" s="76"/>
    <row r="182" ht="12.75" customFormat="1" customHeight="1" s="76"/>
    <row r="183" ht="12.75" customFormat="1" customHeight="1" s="76"/>
    <row r="184" ht="12.75" customFormat="1" customHeight="1" s="76"/>
    <row r="185" ht="12.75" customFormat="1" customHeight="1" s="76"/>
    <row r="186" ht="12.75" customFormat="1" customHeight="1" s="76"/>
    <row r="187" ht="12.75" customFormat="1" customHeight="1" s="76"/>
    <row r="188" ht="12.75" customFormat="1" customHeight="1" s="76"/>
    <row r="189" ht="12.75" customFormat="1" customHeight="1" s="76"/>
    <row r="190" ht="12.75" customFormat="1" customHeight="1" s="76"/>
    <row r="191" ht="12.75" customFormat="1" customHeight="1" s="76"/>
    <row r="192" ht="12.75" customFormat="1" customHeight="1" s="76"/>
    <row r="193" ht="12.75" customFormat="1" customHeight="1" s="76"/>
    <row r="194" ht="12.75" customFormat="1" customHeight="1" s="76"/>
    <row r="195" ht="12.75" customFormat="1" customHeight="1" s="76"/>
    <row r="196" ht="12.75" customFormat="1" customHeight="1" s="76"/>
    <row r="197" ht="12.75" customFormat="1" customHeight="1" s="76"/>
    <row r="198" ht="12.75" customFormat="1" customHeight="1" s="76"/>
    <row r="199" ht="12.75" customFormat="1" customHeight="1" s="76"/>
    <row r="200" ht="12.75" customFormat="1" customHeight="1" s="76"/>
    <row r="201" ht="12.75" customFormat="1" customHeight="1" s="76"/>
    <row r="202" ht="12.75" customFormat="1" customHeight="1" s="76"/>
    <row r="203" ht="12.75" customFormat="1" customHeight="1" s="76"/>
    <row r="204" ht="12.75" customFormat="1" customHeight="1" s="76"/>
    <row r="205" ht="12.75" customFormat="1" customHeight="1" s="76"/>
    <row r="206" ht="12.75" customFormat="1" customHeight="1" s="76"/>
    <row r="207" ht="12.75" customFormat="1" customHeight="1" s="76"/>
    <row r="208" ht="12.75" customFormat="1" customHeight="1" s="76"/>
    <row r="209" ht="12.75" customFormat="1" customHeight="1" s="76"/>
    <row r="210" ht="12.75" customFormat="1" customHeight="1" s="76"/>
    <row r="211" ht="12.75" customFormat="1" customHeight="1" s="76"/>
    <row r="212" ht="12.75" customFormat="1" customHeight="1" s="76"/>
    <row r="213" ht="12.75" customFormat="1" customHeight="1" s="76"/>
    <row r="214" ht="12.75" customFormat="1" customHeight="1" s="76"/>
    <row r="215" ht="12.75" customFormat="1" customHeight="1" s="76"/>
    <row r="216" ht="12.75" customFormat="1" customHeight="1" s="76"/>
    <row r="217" ht="12.75" customFormat="1" customHeight="1" s="76"/>
    <row r="218" ht="12.75" customFormat="1" customHeight="1" s="76"/>
    <row r="219" ht="12.75" customFormat="1" customHeight="1" s="76"/>
    <row r="220" ht="12.75" customFormat="1" customHeight="1" s="76"/>
    <row r="221" ht="12.75" customFormat="1" customHeight="1" s="76"/>
    <row r="222" ht="12.75" customFormat="1" customHeight="1" s="76"/>
    <row r="223" ht="12.75" customFormat="1" customHeight="1" s="76"/>
    <row r="224" ht="12.75" customFormat="1" customHeight="1" s="76"/>
    <row r="225" ht="12.75" customFormat="1" customHeight="1" s="76"/>
    <row r="226" ht="12.75" customFormat="1" customHeight="1" s="76"/>
    <row r="227" ht="12.75" customFormat="1" customHeight="1" s="76"/>
    <row r="228" ht="12.75" customFormat="1" customHeight="1" s="76"/>
    <row r="229" ht="12.75" customFormat="1" customHeight="1" s="76"/>
    <row r="230" ht="12.75" customFormat="1" customHeight="1" s="76"/>
    <row r="231" ht="12.75" customFormat="1" customHeight="1" s="76"/>
    <row r="232" ht="12.75" customFormat="1" customHeight="1" s="76"/>
    <row r="233" ht="12.75" customFormat="1" customHeight="1" s="76"/>
    <row r="234" ht="12.75" customFormat="1" customHeight="1" s="76"/>
    <row r="235" ht="12.75" customFormat="1" customHeight="1" s="76"/>
    <row r="236" ht="12.75" customFormat="1" customHeight="1" s="76"/>
    <row r="237" ht="12.75" customFormat="1" customHeight="1" s="76"/>
    <row r="238" ht="12.75" customFormat="1" customHeight="1" s="76"/>
    <row r="239" ht="12.75" customFormat="1" customHeight="1" s="76"/>
    <row r="240" ht="12.75" customFormat="1" customHeight="1" s="76"/>
    <row r="241" ht="12.75" customFormat="1" customHeight="1" s="76"/>
    <row r="242" ht="12.75" customFormat="1" customHeight="1" s="76"/>
    <row r="243" ht="12.75" customFormat="1" customHeight="1" s="76"/>
    <row r="244" ht="12.75" customFormat="1" customHeight="1" s="76"/>
    <row r="245" ht="12.75" customFormat="1" customHeight="1" s="76"/>
    <row r="246" ht="12.75" customFormat="1" customHeight="1" s="76"/>
    <row r="247" ht="12.75" customFormat="1" customHeight="1" s="76"/>
    <row r="248" ht="12.75" customFormat="1" customHeight="1" s="76"/>
    <row r="249" ht="12.75" customFormat="1" customHeight="1" s="76"/>
    <row r="250" ht="12.75" customFormat="1" customHeight="1" s="76"/>
    <row r="251" ht="12.75" customFormat="1" customHeight="1" s="76"/>
    <row r="252" ht="12.75" customFormat="1" customHeight="1" s="76"/>
    <row r="253" ht="12.75" customFormat="1" customHeight="1" s="76"/>
    <row r="254" ht="12.75" customFormat="1" customHeight="1" s="76"/>
    <row r="255" ht="12.75" customFormat="1" customHeight="1" s="76"/>
    <row r="256" ht="12.75" customFormat="1" customHeight="1" s="76"/>
    <row r="257" ht="12.75" customFormat="1" customHeight="1" s="76"/>
    <row r="258" ht="12.75" customFormat="1" customHeight="1" s="76"/>
    <row r="259" ht="12.75" customFormat="1" customHeight="1" s="76"/>
    <row r="260" ht="12.75" customFormat="1" customHeight="1" s="76"/>
    <row r="261" ht="12.75" customFormat="1" customHeight="1" s="76"/>
    <row r="262" ht="12.75" customFormat="1" customHeight="1" s="76"/>
    <row r="263" ht="12.75" customFormat="1" customHeight="1" s="76"/>
    <row r="264" ht="12.75" customFormat="1" customHeight="1" s="76"/>
    <row r="265" ht="12.75" customFormat="1" customHeight="1" s="76"/>
    <row r="266" ht="12.75" customFormat="1" customHeight="1" s="76"/>
    <row r="267" ht="12.75" customFormat="1" customHeight="1" s="76"/>
    <row r="268" ht="12.75" customFormat="1" customHeight="1" s="76"/>
    <row r="269" ht="12.75" customFormat="1" customHeight="1" s="76"/>
    <row r="270" ht="12.75" customFormat="1" customHeight="1" s="76"/>
    <row r="271" ht="12.75" customFormat="1" customHeight="1" s="76"/>
    <row r="272" ht="12.75" customFormat="1" customHeight="1" s="76"/>
    <row r="273" ht="12.75" customFormat="1" customHeight="1" s="76"/>
    <row r="274" ht="12.75" customFormat="1" customHeight="1" s="76"/>
    <row r="275" ht="12.75" customFormat="1" customHeight="1" s="76"/>
    <row r="276" ht="12.75" customFormat="1" customHeight="1" s="76"/>
    <row r="277" ht="12.75" customFormat="1" customHeight="1" s="76"/>
    <row r="278" ht="12.75" customFormat="1" customHeight="1" s="76"/>
    <row r="279" ht="12.75" customFormat="1" customHeight="1" s="76"/>
    <row r="280" ht="12.75" customFormat="1" customHeight="1" s="76"/>
    <row r="281" ht="12.75" customFormat="1" customHeight="1" s="76"/>
    <row r="282" ht="12.75" customFormat="1" customHeight="1" s="76"/>
    <row r="283" ht="12.75" customFormat="1" customHeight="1" s="76"/>
    <row r="284" ht="12.75" customFormat="1" customHeight="1" s="76"/>
    <row r="285" ht="12.75" customFormat="1" customHeight="1" s="76"/>
    <row r="286" ht="12.75" customFormat="1" customHeight="1" s="76"/>
    <row r="287" ht="12.75" customFormat="1" customHeight="1" s="76"/>
    <row r="288" ht="12.75" customFormat="1" customHeight="1" s="76"/>
    <row r="289" ht="12.75" customFormat="1" customHeight="1" s="76"/>
    <row r="290" ht="12.75" customFormat="1" customHeight="1" s="76"/>
    <row r="291" ht="12.75" customFormat="1" customHeight="1" s="76"/>
    <row r="292" ht="12.75" customFormat="1" customHeight="1" s="76"/>
    <row r="293" ht="12.75" customFormat="1" customHeight="1" s="76"/>
    <row r="294" ht="12.75" customFormat="1" customHeight="1" s="76"/>
    <row r="295" ht="12.75" customFormat="1" customHeight="1" s="76"/>
    <row r="296" ht="12.75" customFormat="1" customHeight="1" s="76"/>
    <row r="297" ht="12.75" customFormat="1" customHeight="1" s="76"/>
    <row r="298" ht="12.75" customFormat="1" customHeight="1" s="76"/>
    <row r="299" ht="12.75" customFormat="1" customHeight="1" s="76"/>
    <row r="300" ht="12.75" customFormat="1" customHeight="1" s="76"/>
    <row r="301" ht="12.75" customFormat="1" customHeight="1" s="76"/>
    <row r="302" ht="12.75" customFormat="1" customHeight="1" s="76"/>
    <row r="303" ht="12.75" customFormat="1" customHeight="1" s="76"/>
    <row r="304" ht="12.75" customFormat="1" customHeight="1" s="76"/>
    <row r="305" ht="12.75" customFormat="1" customHeight="1" s="76"/>
    <row r="306" ht="12.75" customFormat="1" customHeight="1" s="76"/>
    <row r="307" ht="12.75" customFormat="1" customHeight="1" s="76"/>
    <row r="308" ht="12.75" customFormat="1" customHeight="1" s="76"/>
    <row r="309" ht="12.75" customFormat="1" customHeight="1" s="76"/>
    <row r="310" ht="12.75" customFormat="1" customHeight="1" s="76"/>
    <row r="311" ht="12.75" customFormat="1" customHeight="1" s="76"/>
    <row r="312" ht="12.75" customFormat="1" customHeight="1" s="76"/>
    <row r="313" ht="12.75" customFormat="1" customHeight="1" s="76"/>
    <row r="314" ht="12.75" customFormat="1" customHeight="1" s="76"/>
    <row r="315" ht="12.75" customFormat="1" customHeight="1" s="76"/>
    <row r="316" ht="12.75" customFormat="1" customHeight="1" s="76"/>
    <row r="317" ht="12.75" customFormat="1" customHeight="1" s="76"/>
    <row r="318" ht="12.75" customFormat="1" customHeight="1" s="76"/>
    <row r="319" ht="12.75" customFormat="1" customHeight="1" s="76"/>
    <row r="320" ht="12.75" customFormat="1" customHeight="1" s="76"/>
    <row r="321" ht="12.75" customFormat="1" customHeight="1" s="76"/>
    <row r="322" ht="12.75" customFormat="1" customHeight="1" s="76"/>
    <row r="323" ht="12.75" customFormat="1" customHeight="1" s="76"/>
    <row r="324" ht="12.75" customFormat="1" customHeight="1" s="76"/>
    <row r="325" ht="12.75" customFormat="1" customHeight="1" s="76"/>
    <row r="326" ht="12.75" customFormat="1" customHeight="1" s="76"/>
    <row r="327" ht="12.75" customFormat="1" customHeight="1" s="76"/>
    <row r="328" ht="12.75" customFormat="1" customHeight="1" s="76"/>
    <row r="329" ht="12.75" customFormat="1" customHeight="1" s="76"/>
    <row r="330" ht="12.75" customFormat="1" customHeight="1" s="76"/>
    <row r="331" ht="12.75" customFormat="1" customHeight="1" s="76"/>
    <row r="332" ht="12.75" customFormat="1" customHeight="1" s="76"/>
    <row r="333" ht="12.75" customFormat="1" customHeight="1" s="76"/>
    <row r="334" ht="12.75" customFormat="1" customHeight="1" s="76"/>
    <row r="335" ht="12.75" customFormat="1" customHeight="1" s="76"/>
    <row r="336" ht="12.75" customFormat="1" customHeight="1" s="76"/>
    <row r="337" ht="12.75" customFormat="1" customHeight="1" s="76"/>
    <row r="338" ht="12.75" customFormat="1" customHeight="1" s="76"/>
    <row r="339" ht="12.75" customFormat="1" customHeight="1" s="76"/>
    <row r="340" ht="12.75" customFormat="1" customHeight="1" s="76"/>
    <row r="341" ht="12.75" customFormat="1" customHeight="1" s="76"/>
    <row r="342" ht="12.75" customFormat="1" customHeight="1" s="76"/>
    <row r="343" ht="12.75" customFormat="1" customHeight="1" s="76"/>
    <row r="344" ht="12.75" customFormat="1" customHeight="1" s="76"/>
    <row r="345" ht="12.75" customFormat="1" customHeight="1" s="76"/>
    <row r="346" ht="12.75" customFormat="1" customHeight="1" s="76"/>
    <row r="347" ht="12.75" customFormat="1" customHeight="1" s="76"/>
    <row r="348" ht="12.75" customFormat="1" customHeight="1" s="76"/>
    <row r="349" ht="12.75" customFormat="1" customHeight="1" s="76"/>
    <row r="350" ht="12.75" customFormat="1" customHeight="1" s="76"/>
    <row r="351" ht="12.75" customFormat="1" customHeight="1" s="76"/>
    <row r="352" ht="12.75" customFormat="1" customHeight="1" s="76"/>
    <row r="353" ht="12.75" customFormat="1" customHeight="1" s="76"/>
    <row r="354" ht="12.75" customFormat="1" customHeight="1" s="76"/>
    <row r="355" ht="12.75" customFormat="1" customHeight="1" s="76"/>
    <row r="356" ht="12.75" customFormat="1" customHeight="1" s="76"/>
    <row r="357" ht="12.75" customFormat="1" customHeight="1" s="76"/>
    <row r="358" ht="12.75" customFormat="1" customHeight="1" s="76"/>
    <row r="359" ht="12.75" customFormat="1" customHeight="1" s="76"/>
    <row r="360" ht="12.75" customFormat="1" customHeight="1" s="76"/>
    <row r="361" ht="12.75" customFormat="1" customHeight="1" s="76"/>
    <row r="362" ht="12.75" customFormat="1" customHeight="1" s="76"/>
    <row r="363" ht="12.75" customFormat="1" customHeight="1" s="76"/>
    <row r="364" ht="12.75" customFormat="1" customHeight="1" s="76"/>
    <row r="365" ht="12.75" customFormat="1" customHeight="1" s="76"/>
    <row r="366" ht="12.75" customFormat="1" customHeight="1" s="76"/>
    <row r="367" ht="12.75" customFormat="1" customHeight="1" s="76"/>
    <row r="368" ht="12.75" customFormat="1" customHeight="1" s="76"/>
    <row r="369" ht="12.75" customFormat="1" customHeight="1" s="76"/>
    <row r="370" ht="12.75" customFormat="1" customHeight="1" s="76"/>
    <row r="371" ht="12.75" customFormat="1" customHeight="1" s="76"/>
    <row r="372" ht="12.75" customFormat="1" customHeight="1" s="76"/>
    <row r="373" ht="12.75" customFormat="1" customHeight="1" s="76"/>
    <row r="374" ht="12.75" customFormat="1" customHeight="1" s="76"/>
    <row r="375" ht="12.75" customFormat="1" customHeight="1" s="76"/>
    <row r="376" ht="12.75" customFormat="1" customHeight="1" s="76"/>
    <row r="377" ht="12.75" customFormat="1" customHeight="1" s="76"/>
    <row r="378" ht="12.75" customFormat="1" customHeight="1" s="76"/>
    <row r="379" ht="12.75" customFormat="1" customHeight="1" s="76"/>
    <row r="380" ht="12.75" customFormat="1" customHeight="1" s="76"/>
    <row r="381" ht="12.75" customFormat="1" customHeight="1" s="76"/>
    <row r="382" ht="12.75" customFormat="1" customHeight="1" s="76"/>
    <row r="383" ht="12.75" customFormat="1" customHeight="1" s="76"/>
    <row r="384" ht="12.75" customFormat="1" customHeight="1" s="76"/>
    <row r="385" ht="12.75" customFormat="1" customHeight="1" s="76"/>
    <row r="386" ht="12.75" customFormat="1" customHeight="1" s="76"/>
    <row r="387" ht="12.75" customFormat="1" customHeight="1" s="76"/>
    <row r="388" ht="12.75" customFormat="1" customHeight="1" s="76"/>
    <row r="389" ht="12.75" customFormat="1" customHeight="1" s="76"/>
    <row r="390" ht="12.75" customFormat="1" customHeight="1" s="76"/>
    <row r="391" ht="12.75" customFormat="1" customHeight="1" s="76"/>
    <row r="392" ht="12.75" customFormat="1" customHeight="1" s="76"/>
    <row r="393" ht="12.75" customFormat="1" customHeight="1" s="76"/>
    <row r="394" ht="12.75" customFormat="1" customHeight="1" s="76"/>
    <row r="395" ht="12.75" customFormat="1" customHeight="1" s="76"/>
    <row r="396" ht="12.75" customFormat="1" customHeight="1" s="76"/>
    <row r="397" ht="12.75" customFormat="1" customHeight="1" s="76"/>
    <row r="398" ht="12.75" customFormat="1" customHeight="1" s="76"/>
    <row r="399" ht="12.75" customFormat="1" customHeight="1" s="76"/>
    <row r="400" ht="12.75" customFormat="1" customHeight="1" s="76"/>
    <row r="401" ht="12.75" customFormat="1" customHeight="1" s="76"/>
    <row r="402" ht="12.75" customFormat="1" customHeight="1" s="76"/>
    <row r="403" ht="12.75" customFormat="1" customHeight="1" s="76"/>
    <row r="404" ht="12.75" customFormat="1" customHeight="1" s="76"/>
    <row r="405" ht="12.75" customFormat="1" customHeight="1" s="76"/>
    <row r="406" ht="12.75" customFormat="1" customHeight="1" s="76"/>
    <row r="407" ht="12.75" customFormat="1" customHeight="1" s="76"/>
    <row r="408" ht="12.75" customFormat="1" customHeight="1" s="76"/>
    <row r="409" ht="12.75" customFormat="1" customHeight="1" s="76"/>
    <row r="410" ht="12.75" customFormat="1" customHeight="1" s="76"/>
    <row r="411" ht="12.75" customFormat="1" customHeight="1" s="76"/>
    <row r="412" ht="12.75" customFormat="1" customHeight="1" s="76"/>
    <row r="413" ht="12.75" customFormat="1" customHeight="1" s="76"/>
    <row r="414" ht="12.75" customFormat="1" customHeight="1" s="76"/>
    <row r="415" ht="12.75" customFormat="1" customHeight="1" s="76"/>
    <row r="416" ht="12.75" customFormat="1" customHeight="1" s="76"/>
    <row r="417" ht="12.75" customFormat="1" customHeight="1" s="76"/>
    <row r="418" ht="12.75" customFormat="1" customHeight="1" s="76"/>
    <row r="419" ht="12.75" customFormat="1" customHeight="1" s="76"/>
    <row r="420" ht="12.75" customFormat="1" customHeight="1" s="76"/>
    <row r="421" ht="12.75" customFormat="1" customHeight="1" s="76"/>
    <row r="422" ht="12.75" customFormat="1" customHeight="1" s="76"/>
    <row r="423" ht="12.75" customFormat="1" customHeight="1" s="76"/>
    <row r="424" ht="12.75" customFormat="1" customHeight="1" s="76"/>
    <row r="425" ht="12.75" customFormat="1" customHeight="1" s="76"/>
    <row r="426" ht="12.75" customFormat="1" customHeight="1" s="76"/>
    <row r="427" ht="12.75" customFormat="1" customHeight="1" s="76"/>
    <row r="428" ht="12.75" customFormat="1" customHeight="1" s="76"/>
    <row r="429" ht="12.75" customFormat="1" customHeight="1" s="76"/>
    <row r="430" ht="12.75" customFormat="1" customHeight="1" s="76"/>
    <row r="431" ht="12.75" customFormat="1" customHeight="1" s="76"/>
    <row r="432" ht="12.75" customFormat="1" customHeight="1" s="76"/>
    <row r="433" ht="12.75" customFormat="1" customHeight="1" s="76"/>
    <row r="434" ht="12.75" customFormat="1" customHeight="1" s="76"/>
    <row r="435" ht="12.75" customFormat="1" customHeight="1" s="76"/>
    <row r="436" ht="12.75" customFormat="1" customHeight="1" s="76"/>
    <row r="437" ht="12.75" customFormat="1" customHeight="1" s="76"/>
    <row r="438" ht="12.75" customFormat="1" customHeight="1" s="76"/>
    <row r="439" ht="12.75" customFormat="1" customHeight="1" s="76"/>
    <row r="440" ht="12.75" customFormat="1" customHeight="1" s="76"/>
    <row r="441" ht="12.75" customFormat="1" customHeight="1" s="76"/>
    <row r="442" ht="12.75" customFormat="1" customHeight="1" s="76"/>
    <row r="443" ht="12.75" customFormat="1" customHeight="1" s="76"/>
    <row r="444" ht="12.75" customFormat="1" customHeight="1" s="76"/>
    <row r="445" ht="12.75" customFormat="1" customHeight="1" s="76"/>
    <row r="446" ht="12.75" customFormat="1" customHeight="1" s="76"/>
    <row r="447" ht="12.75" customFormat="1" customHeight="1" s="76"/>
    <row r="448" ht="12.75" customFormat="1" customHeight="1" s="76"/>
    <row r="449" ht="12.75" customFormat="1" customHeight="1" s="76"/>
    <row r="450" ht="12.75" customFormat="1" customHeight="1" s="76"/>
    <row r="451" ht="12.75" customFormat="1" customHeight="1" s="76"/>
    <row r="452" ht="12.75" customFormat="1" customHeight="1" s="76"/>
    <row r="453" ht="12.75" customFormat="1" customHeight="1" s="76"/>
    <row r="454" ht="12.75" customFormat="1" customHeight="1" s="76"/>
    <row r="455" ht="12.75" customFormat="1" customHeight="1" s="76"/>
    <row r="456" ht="12.75" customFormat="1" customHeight="1" s="76"/>
    <row r="457" ht="12.75" customFormat="1" customHeight="1" s="76"/>
    <row r="458" ht="12.75" customFormat="1" customHeight="1" s="76"/>
    <row r="459" ht="12.75" customFormat="1" customHeight="1" s="76"/>
    <row r="460" ht="12.75" customFormat="1" customHeight="1" s="76"/>
    <row r="461" ht="12.75" customFormat="1" customHeight="1" s="76"/>
    <row r="462" ht="12.75" customFormat="1" customHeight="1" s="76"/>
    <row r="463" ht="12.75" customFormat="1" customHeight="1" s="76"/>
    <row r="464" ht="12.75" customFormat="1" customHeight="1" s="76"/>
    <row r="465" ht="12.75" customFormat="1" customHeight="1" s="76"/>
    <row r="466" ht="12.75" customFormat="1" customHeight="1" s="76"/>
    <row r="467" ht="12.75" customFormat="1" customHeight="1" s="76"/>
    <row r="468" ht="12.75" customFormat="1" customHeight="1" s="76"/>
    <row r="469" ht="12.75" customFormat="1" customHeight="1" s="76"/>
    <row r="470" ht="12.75" customFormat="1" customHeight="1" s="76"/>
    <row r="471" ht="12.75" customFormat="1" customHeight="1" s="76"/>
    <row r="472" ht="12.75" customFormat="1" customHeight="1" s="76"/>
    <row r="473" ht="12.75" customFormat="1" customHeight="1" s="76"/>
    <row r="474" ht="12.75" customFormat="1" customHeight="1" s="76"/>
    <row r="475" ht="12.75" customFormat="1" customHeight="1" s="76"/>
    <row r="476" ht="12.75" customFormat="1" customHeight="1" s="76"/>
    <row r="477" ht="12.75" customFormat="1" customHeight="1" s="76"/>
    <row r="478" ht="12.75" customFormat="1" customHeight="1" s="76"/>
    <row r="479" ht="12.75" customFormat="1" customHeight="1" s="76"/>
    <row r="480" ht="12.75" customFormat="1" customHeight="1" s="76"/>
    <row r="481" ht="12.75" customFormat="1" customHeight="1" s="76"/>
    <row r="482" ht="12.75" customFormat="1" customHeight="1" s="76"/>
    <row r="483" ht="12.75" customFormat="1" customHeight="1" s="76"/>
    <row r="484" ht="12.75" customFormat="1" customHeight="1" s="76"/>
    <row r="485" ht="12.75" customFormat="1" customHeight="1" s="76"/>
    <row r="486" ht="12.75" customFormat="1" customHeight="1" s="76"/>
    <row r="487" ht="12.75" customFormat="1" customHeight="1" s="76"/>
    <row r="488" ht="12.75" customFormat="1" customHeight="1" s="76"/>
    <row r="489" ht="12.75" customFormat="1" customHeight="1" s="76"/>
    <row r="490" ht="12.75" customFormat="1" customHeight="1" s="76"/>
    <row r="491" ht="12.75" customFormat="1" customHeight="1" s="76"/>
    <row r="492" ht="12.75" customFormat="1" customHeight="1" s="76"/>
    <row r="493" ht="12.75" customFormat="1" customHeight="1" s="76"/>
    <row r="494" ht="12.75" customFormat="1" customHeight="1" s="76"/>
    <row r="495" ht="12.75" customFormat="1" customHeight="1" s="76"/>
    <row r="496" ht="12.75" customFormat="1" customHeight="1" s="76"/>
    <row r="497" ht="12.75" customFormat="1" customHeight="1" s="76"/>
    <row r="498" ht="12.75" customFormat="1" customHeight="1" s="76"/>
    <row r="499" ht="12.75" customFormat="1" customHeight="1" s="76"/>
    <row r="500" ht="12.75" customFormat="1" customHeight="1" s="76"/>
    <row r="501" ht="12.75" customFormat="1" customHeight="1" s="76"/>
    <row r="502" ht="12.75" customFormat="1" customHeight="1" s="76"/>
    <row r="503" ht="12.75" customFormat="1" customHeight="1" s="76"/>
    <row r="504" ht="12.75" customFormat="1" customHeight="1" s="76"/>
    <row r="505" ht="12.75" customFormat="1" customHeight="1" s="76"/>
    <row r="506" ht="12.75" customFormat="1" customHeight="1" s="76"/>
    <row r="507" ht="12.75" customFormat="1" customHeight="1" s="76"/>
    <row r="508" ht="12.75" customFormat="1" customHeight="1" s="76"/>
    <row r="509" ht="12.75" customFormat="1" customHeight="1" s="76"/>
    <row r="510" ht="12.75" customFormat="1" customHeight="1" s="76"/>
    <row r="511" ht="12.75" customFormat="1" customHeight="1" s="76"/>
    <row r="512" ht="12.75" customFormat="1" customHeight="1" s="76"/>
    <row r="513" ht="12.75" customFormat="1" customHeight="1" s="76"/>
    <row r="514" ht="12.75" customFormat="1" customHeight="1" s="76"/>
    <row r="515" ht="12.75" customFormat="1" customHeight="1" s="76"/>
    <row r="516" ht="12.75" customFormat="1" customHeight="1" s="76"/>
    <row r="517" ht="12.75" customFormat="1" customHeight="1" s="76"/>
    <row r="518" ht="12.75" customFormat="1" customHeight="1" s="76"/>
    <row r="519" ht="12.75" customFormat="1" customHeight="1" s="76"/>
    <row r="520" ht="12.75" customFormat="1" customHeight="1" s="76"/>
    <row r="521" ht="12.75" customFormat="1" customHeight="1" s="76"/>
    <row r="522" ht="12.75" customFormat="1" customHeight="1" s="76"/>
    <row r="523" ht="12.75" customFormat="1" customHeight="1" s="76"/>
    <row r="524" ht="12.75" customFormat="1" customHeight="1" s="76"/>
    <row r="525" ht="12.75" customFormat="1" customHeight="1" s="76"/>
    <row r="526" ht="12.75" customFormat="1" customHeight="1" s="76"/>
    <row r="527" ht="12.75" customFormat="1" customHeight="1" s="76"/>
    <row r="528" ht="12.75" customFormat="1" customHeight="1" s="76"/>
    <row r="529" ht="12.75" customFormat="1" customHeight="1" s="76"/>
    <row r="530" ht="12.75" customFormat="1" customHeight="1" s="76"/>
    <row r="531" ht="12.75" customFormat="1" customHeight="1" s="76"/>
    <row r="532" ht="12.75" customFormat="1" customHeight="1" s="76"/>
    <row r="533" ht="12.75" customFormat="1" customHeight="1" s="76"/>
    <row r="534" ht="12.75" customFormat="1" customHeight="1" s="76"/>
    <row r="535" ht="12.75" customFormat="1" customHeight="1" s="76"/>
    <row r="536" ht="12.75" customFormat="1" customHeight="1" s="76"/>
    <row r="537" ht="12.75" customFormat="1" customHeight="1" s="76"/>
    <row r="538" ht="12.75" customFormat="1" customHeight="1" s="76"/>
    <row r="539" ht="12.75" customFormat="1" customHeight="1" s="76"/>
    <row r="540" ht="12.75" customFormat="1" customHeight="1" s="76"/>
    <row r="541" ht="12.75" customFormat="1" customHeight="1" s="76"/>
    <row r="542" ht="12.75" customFormat="1" customHeight="1" s="76"/>
    <row r="543" ht="12.75" customFormat="1" customHeight="1" s="76"/>
    <row r="544" ht="12.75" customFormat="1" customHeight="1" s="76"/>
    <row r="545" ht="12.75" customFormat="1" customHeight="1" s="76"/>
    <row r="546" ht="12.75" customFormat="1" customHeight="1" s="76"/>
    <row r="547" ht="12.75" customFormat="1" customHeight="1" s="76"/>
    <row r="548" ht="12.75" customFormat="1" customHeight="1" s="76"/>
    <row r="549" ht="12.75" customFormat="1" customHeight="1" s="76"/>
    <row r="550" ht="12.75" customFormat="1" customHeight="1" s="76"/>
    <row r="551" ht="12.75" customFormat="1" customHeight="1" s="76"/>
    <row r="552" ht="12.75" customFormat="1" customHeight="1" s="76"/>
    <row r="553" ht="12.75" customFormat="1" customHeight="1" s="76"/>
    <row r="554" ht="12.75" customFormat="1" customHeight="1" s="76"/>
    <row r="555" ht="12.75" customFormat="1" customHeight="1" s="76"/>
    <row r="556" ht="12.75" customFormat="1" customHeight="1" s="76"/>
    <row r="557" ht="12.75" customFormat="1" customHeight="1" s="76"/>
    <row r="558" ht="12.75" customFormat="1" customHeight="1" s="76"/>
    <row r="559" ht="12.75" customFormat="1" customHeight="1" s="76"/>
    <row r="560" ht="12.75" customFormat="1" customHeight="1" s="76"/>
    <row r="561" ht="12.75" customFormat="1" customHeight="1" s="76"/>
    <row r="562" ht="12.75" customFormat="1" customHeight="1" s="76"/>
    <row r="563" ht="12.75" customFormat="1" customHeight="1" s="76"/>
    <row r="564" ht="12.75" customFormat="1" customHeight="1" s="76"/>
    <row r="565" ht="12.75" customFormat="1" customHeight="1" s="76"/>
    <row r="566" ht="12.75" customFormat="1" customHeight="1" s="76"/>
    <row r="567" ht="12.75" customFormat="1" customHeight="1" s="76"/>
    <row r="568" ht="12.75" customFormat="1" customHeight="1" s="76"/>
    <row r="569" ht="12.75" customFormat="1" customHeight="1" s="76"/>
    <row r="570" ht="12.75" customFormat="1" customHeight="1" s="76"/>
    <row r="571" ht="12.75" customFormat="1" customHeight="1" s="76"/>
    <row r="572" ht="12.75" customFormat="1" customHeight="1" s="76"/>
    <row r="573" ht="12.75" customFormat="1" customHeight="1" s="76"/>
    <row r="574" ht="12.75" customFormat="1" customHeight="1" s="76"/>
    <row r="575" ht="12.75" customFormat="1" customHeight="1" s="76"/>
    <row r="576" ht="12.75" customFormat="1" customHeight="1" s="76"/>
    <row r="577" ht="12.75" customFormat="1" customHeight="1" s="76"/>
    <row r="578" ht="12.75" customFormat="1" customHeight="1" s="76"/>
    <row r="579" ht="12.75" customFormat="1" customHeight="1" s="76"/>
    <row r="580" ht="12.75" customFormat="1" customHeight="1" s="76"/>
    <row r="581" ht="12.75" customFormat="1" customHeight="1" s="76"/>
    <row r="582" ht="12.75" customFormat="1" customHeight="1" s="76"/>
    <row r="583" ht="12.75" customFormat="1" customHeight="1" s="76"/>
    <row r="584" ht="12.75" customFormat="1" customHeight="1" s="76"/>
    <row r="585" ht="12.75" customFormat="1" customHeight="1" s="76"/>
    <row r="586" ht="12.75" customFormat="1" customHeight="1" s="76"/>
    <row r="587" ht="12.75" customFormat="1" customHeight="1" s="76"/>
    <row r="588" ht="12.75" customFormat="1" customHeight="1" s="76"/>
    <row r="589" ht="12.75" customFormat="1" customHeight="1" s="76"/>
    <row r="590" ht="12.75" customFormat="1" customHeight="1" s="76"/>
    <row r="591" ht="12.75" customFormat="1" customHeight="1" s="76"/>
    <row r="592" ht="12.75" customFormat="1" customHeight="1" s="76"/>
    <row r="593" ht="12.75" customFormat="1" customHeight="1" s="76"/>
    <row r="594" ht="12.75" customFormat="1" customHeight="1" s="76"/>
    <row r="595" ht="12.75" customFormat="1" customHeight="1" s="76"/>
    <row r="596" ht="12.75" customFormat="1" customHeight="1" s="76"/>
    <row r="597" ht="12.75" customFormat="1" customHeight="1" s="76"/>
    <row r="598" ht="12.75" customFormat="1" customHeight="1" s="76"/>
    <row r="599" ht="12.75" customFormat="1" customHeight="1" s="76"/>
    <row r="600" ht="12.75" customFormat="1" customHeight="1" s="76"/>
    <row r="601" ht="12.75" customFormat="1" customHeight="1" s="76"/>
    <row r="602" ht="12.75" customFormat="1" customHeight="1" s="76"/>
    <row r="603" ht="12.75" customFormat="1" customHeight="1" s="76"/>
    <row r="604" ht="12.75" customFormat="1" customHeight="1" s="76"/>
    <row r="605" ht="12.75" customFormat="1" customHeight="1" s="76"/>
    <row r="606" ht="12.75" customFormat="1" customHeight="1" s="76"/>
    <row r="607" ht="12.75" customFormat="1" customHeight="1" s="76"/>
    <row r="608" ht="12.75" customFormat="1" customHeight="1" s="76"/>
    <row r="609" ht="12.75" customFormat="1" customHeight="1" s="76"/>
    <row r="610" ht="12.75" customFormat="1" customHeight="1" s="76"/>
    <row r="611" ht="12.75" customFormat="1" customHeight="1" s="76"/>
    <row r="612" ht="12.75" customFormat="1" customHeight="1" s="76"/>
    <row r="613" ht="12.75" customFormat="1" customHeight="1" s="76"/>
    <row r="614" ht="12.75" customFormat="1" customHeight="1" s="76"/>
    <row r="615" ht="12.75" customFormat="1" customHeight="1" s="76"/>
    <row r="616" ht="12.75" customFormat="1" customHeight="1" s="76"/>
    <row r="617" ht="12.75" customFormat="1" customHeight="1" s="76"/>
    <row r="618" ht="12.75" customFormat="1" customHeight="1" s="76"/>
    <row r="619" ht="12.75" customFormat="1" customHeight="1" s="76"/>
    <row r="620" ht="12.75" customFormat="1" customHeight="1" s="76"/>
    <row r="621" ht="12.75" customFormat="1" customHeight="1" s="76"/>
    <row r="622" ht="12.75" customFormat="1" customHeight="1" s="76"/>
    <row r="623" ht="12.75" customFormat="1" customHeight="1" s="76"/>
    <row r="624" ht="12.75" customFormat="1" customHeight="1" s="76"/>
    <row r="625" ht="12.75" customFormat="1" customHeight="1" s="76"/>
    <row r="626" ht="12.75" customFormat="1" customHeight="1" s="76"/>
    <row r="627" ht="12.75" customFormat="1" customHeight="1" s="76"/>
    <row r="628" ht="12.75" customFormat="1" customHeight="1" s="76"/>
    <row r="629" ht="12.75" customFormat="1" customHeight="1" s="76"/>
    <row r="630" ht="12.75" customFormat="1" customHeight="1" s="76"/>
    <row r="631" ht="12.75" customFormat="1" customHeight="1" s="76"/>
    <row r="632" ht="12.75" customFormat="1" customHeight="1" s="76"/>
    <row r="633" ht="12.75" customFormat="1" customHeight="1" s="76"/>
    <row r="634" ht="12.75" customFormat="1" customHeight="1" s="76"/>
    <row r="635" ht="12.75" customFormat="1" customHeight="1" s="76"/>
    <row r="636" ht="12.75" customFormat="1" customHeight="1" s="76"/>
    <row r="637" ht="12.75" customFormat="1" customHeight="1" s="76"/>
    <row r="638" ht="12.75" customFormat="1" customHeight="1" s="76"/>
    <row r="639" ht="12.75" customFormat="1" customHeight="1" s="76"/>
    <row r="640" ht="12.75" customFormat="1" customHeight="1" s="76"/>
    <row r="641" ht="12.75" customFormat="1" customHeight="1" s="76"/>
    <row r="642" ht="12.75" customFormat="1" customHeight="1" s="76"/>
    <row r="643" ht="12.75" customFormat="1" customHeight="1" s="76"/>
    <row r="644" ht="12.75" customFormat="1" customHeight="1" s="76"/>
    <row r="645" ht="12.75" customFormat="1" customHeight="1" s="76"/>
    <row r="646" ht="12.75" customFormat="1" customHeight="1" s="76"/>
    <row r="647" ht="12.75" customFormat="1" customHeight="1" s="76"/>
    <row r="648" ht="12.75" customFormat="1" customHeight="1" s="76"/>
    <row r="649" ht="12.75" customFormat="1" customHeight="1" s="76"/>
    <row r="650" ht="12.75" customFormat="1" customHeight="1" s="76"/>
    <row r="651" ht="12.75" customFormat="1" customHeight="1" s="76"/>
    <row r="652" ht="12.75" customFormat="1" customHeight="1" s="76"/>
    <row r="653" ht="12.75" customFormat="1" customHeight="1" s="76"/>
    <row r="654" ht="12.75" customFormat="1" customHeight="1" s="76"/>
    <row r="655" ht="12.75" customFormat="1" customHeight="1" s="76"/>
    <row r="656" ht="12.75" customFormat="1" customHeight="1" s="76"/>
    <row r="657" ht="12.75" customFormat="1" customHeight="1" s="76"/>
    <row r="658" ht="12.75" customFormat="1" customHeight="1" s="76"/>
    <row r="659" ht="12.75" customFormat="1" customHeight="1" s="76"/>
    <row r="660" ht="12.75" customFormat="1" customHeight="1" s="76"/>
    <row r="661" ht="12.75" customFormat="1" customHeight="1" s="76"/>
    <row r="662" ht="12.75" customFormat="1" customHeight="1" s="76"/>
    <row r="663" ht="12.75" customFormat="1" customHeight="1" s="76"/>
    <row r="664" ht="12.75" customFormat="1" customHeight="1" s="76"/>
    <row r="665" ht="12.75" customFormat="1" customHeight="1" s="76"/>
    <row r="666" ht="12.75" customFormat="1" customHeight="1" s="76"/>
    <row r="667" ht="12.75" customFormat="1" customHeight="1" s="76"/>
    <row r="668" ht="12.75" customFormat="1" customHeight="1" s="76"/>
    <row r="669" ht="12.75" customFormat="1" customHeight="1" s="76"/>
    <row r="670" ht="12.75" customFormat="1" customHeight="1" s="76"/>
    <row r="671" ht="12.75" customFormat="1" customHeight="1" s="76"/>
    <row r="672" ht="12.75" customFormat="1" customHeight="1" s="76"/>
    <row r="673" ht="12.75" customFormat="1" customHeight="1" s="76"/>
    <row r="674" ht="12.75" customFormat="1" customHeight="1" s="76"/>
    <row r="675" ht="12.75" customFormat="1" customHeight="1" s="76"/>
    <row r="676" ht="12.75" customFormat="1" customHeight="1" s="76"/>
    <row r="677" ht="12.75" customFormat="1" customHeight="1" s="76"/>
    <row r="678" ht="12.75" customFormat="1" customHeight="1" s="76"/>
    <row r="679" ht="12.75" customFormat="1" customHeight="1" s="76"/>
    <row r="680" ht="12.75" customFormat="1" customHeight="1" s="76"/>
    <row r="681" ht="12.75" customFormat="1" customHeight="1" s="76"/>
    <row r="682" ht="12.75" customFormat="1" customHeight="1" s="76"/>
    <row r="683" ht="12.75" customFormat="1" customHeight="1" s="76"/>
    <row r="684" ht="12.75" customFormat="1" customHeight="1" s="76"/>
    <row r="685" ht="12.75" customFormat="1" customHeight="1" s="76"/>
    <row r="686" ht="12.75" customFormat="1" customHeight="1" s="76"/>
    <row r="687" ht="12.75" customFormat="1" customHeight="1" s="76"/>
    <row r="688" ht="12.75" customFormat="1" customHeight="1" s="76"/>
    <row r="689" ht="12.75" customFormat="1" customHeight="1" s="76"/>
    <row r="690" ht="12.75" customFormat="1" customHeight="1" s="76"/>
    <row r="691" ht="12.75" customFormat="1" customHeight="1" s="76"/>
    <row r="692" ht="12.75" customFormat="1" customHeight="1" s="76"/>
    <row r="693" ht="12.75" customFormat="1" customHeight="1" s="76"/>
    <row r="694" ht="12.75" customFormat="1" customHeight="1" s="76"/>
    <row r="695" ht="12.75" customFormat="1" customHeight="1" s="76"/>
    <row r="696" ht="12.75" customFormat="1" customHeight="1" s="76"/>
    <row r="697" ht="12.75" customFormat="1" customHeight="1" s="76"/>
    <row r="698" ht="12.75" customFormat="1" customHeight="1" s="76"/>
    <row r="699" ht="12.75" customFormat="1" customHeight="1" s="76"/>
    <row r="700" ht="12.75" customFormat="1" customHeight="1" s="76"/>
    <row r="701" ht="12.75" customFormat="1" customHeight="1" s="76"/>
    <row r="702" ht="12.75" customFormat="1" customHeight="1" s="76"/>
    <row r="703" ht="12.75" customFormat="1" customHeight="1" s="76"/>
    <row r="704" ht="12.75" customFormat="1" customHeight="1" s="76"/>
    <row r="705" ht="12.75" customFormat="1" customHeight="1" s="76"/>
    <row r="706" ht="12.75" customFormat="1" customHeight="1" s="76"/>
    <row r="707" ht="12.75" customFormat="1" customHeight="1" s="76"/>
    <row r="708" ht="12.75" customFormat="1" customHeight="1" s="76"/>
    <row r="709" ht="12.75" customFormat="1" customHeight="1" s="76"/>
    <row r="710" ht="12.75" customFormat="1" customHeight="1" s="76"/>
    <row r="711" ht="12.75" customFormat="1" customHeight="1" s="76"/>
    <row r="712" ht="12.75" customFormat="1" customHeight="1" s="76"/>
    <row r="713" ht="12.75" customFormat="1" customHeight="1" s="76"/>
    <row r="714" ht="12.75" customFormat="1" customHeight="1" s="76"/>
    <row r="715" ht="12.75" customFormat="1" customHeight="1" s="76"/>
    <row r="716" ht="12.75" customFormat="1" customHeight="1" s="76"/>
    <row r="717" ht="12.75" customFormat="1" customHeight="1" s="76"/>
    <row r="718" ht="12.75" customFormat="1" customHeight="1" s="76"/>
    <row r="719" ht="12.75" customFormat="1" customHeight="1" s="76"/>
    <row r="720" ht="12.75" customFormat="1" customHeight="1" s="76"/>
    <row r="721" ht="12.75" customFormat="1" customHeight="1" s="76"/>
    <row r="722" ht="12.75" customFormat="1" customHeight="1" s="76"/>
    <row r="723" ht="12.75" customFormat="1" customHeight="1" s="76"/>
    <row r="724" ht="12.75" customFormat="1" customHeight="1" s="76"/>
    <row r="725" ht="12.75" customFormat="1" customHeight="1" s="76"/>
    <row r="726" ht="12.75" customFormat="1" customHeight="1" s="76"/>
    <row r="727" ht="12.75" customFormat="1" customHeight="1" s="76"/>
    <row r="728" ht="12.75" customFormat="1" customHeight="1" s="76"/>
    <row r="729" ht="12.75" customFormat="1" customHeight="1" s="76"/>
    <row r="730" ht="12.75" customFormat="1" customHeight="1" s="76"/>
    <row r="731" ht="12.75" customFormat="1" customHeight="1" s="76"/>
    <row r="732" ht="12.75" customFormat="1" customHeight="1" s="76"/>
    <row r="733" ht="12.75" customFormat="1" customHeight="1" s="76"/>
    <row r="734" ht="12.75" customFormat="1" customHeight="1" s="76"/>
    <row r="735" ht="12.75" customFormat="1" customHeight="1" s="76"/>
    <row r="736" ht="12.75" customFormat="1" customHeight="1" s="76"/>
    <row r="737" ht="12.75" customFormat="1" customHeight="1" s="76"/>
    <row r="738" ht="12.75" customFormat="1" customHeight="1" s="76"/>
    <row r="739" ht="12.75" customFormat="1" customHeight="1" s="76"/>
    <row r="740" ht="12.75" customFormat="1" customHeight="1" s="76"/>
    <row r="741" ht="12.75" customFormat="1" customHeight="1" s="76"/>
    <row r="742" ht="12.75" customFormat="1" customHeight="1" s="76"/>
    <row r="743" ht="12.75" customFormat="1" customHeight="1" s="76"/>
    <row r="744" ht="12.75" customFormat="1" customHeight="1" s="76"/>
    <row r="745" ht="12.75" customFormat="1" customHeight="1" s="76"/>
    <row r="746" ht="12.75" customFormat="1" customHeight="1" s="76"/>
    <row r="747" ht="12.75" customFormat="1" customHeight="1" s="76"/>
    <row r="748" ht="12.75" customFormat="1" customHeight="1" s="76"/>
    <row r="749" ht="12.75" customFormat="1" customHeight="1" s="76"/>
    <row r="750" ht="12.75" customFormat="1" customHeight="1" s="76"/>
    <row r="751" ht="12.75" customFormat="1" customHeight="1" s="76"/>
    <row r="752" ht="12.75" customFormat="1" customHeight="1" s="76"/>
    <row r="753" ht="12.75" customFormat="1" customHeight="1" s="76"/>
    <row r="754" ht="12.75" customFormat="1" customHeight="1" s="76"/>
    <row r="755" ht="12.75" customFormat="1" customHeight="1" s="76"/>
    <row r="756" ht="12.75" customFormat="1" customHeight="1" s="76"/>
    <row r="757" ht="12.75" customFormat="1" customHeight="1" s="76"/>
    <row r="758" ht="12.75" customFormat="1" customHeight="1" s="76"/>
    <row r="759" ht="12.75" customFormat="1" customHeight="1" s="76"/>
    <row r="760" ht="12.75" customFormat="1" customHeight="1" s="76"/>
    <row r="761" ht="12.75" customFormat="1" customHeight="1" s="76"/>
    <row r="762" ht="12.75" customFormat="1" customHeight="1" s="76"/>
    <row r="763" ht="12.75" customFormat="1" customHeight="1" s="76"/>
    <row r="764" ht="12.75" customFormat="1" customHeight="1" s="76"/>
    <row r="765" ht="12.75" customFormat="1" customHeight="1" s="76"/>
    <row r="766" ht="12.75" customFormat="1" customHeight="1" s="76"/>
    <row r="767" ht="12.75" customFormat="1" customHeight="1" s="76"/>
    <row r="768" ht="12.75" customFormat="1" customHeight="1" s="76"/>
    <row r="769" ht="12.75" customFormat="1" customHeight="1" s="76"/>
    <row r="770" ht="12.75" customFormat="1" customHeight="1" s="76"/>
    <row r="771" ht="12.75" customFormat="1" customHeight="1" s="76"/>
    <row r="772" ht="12.75" customFormat="1" customHeight="1" s="76"/>
    <row r="773" ht="12.75" customFormat="1" customHeight="1" s="76"/>
    <row r="774" ht="12.75" customFormat="1" customHeight="1" s="76"/>
    <row r="775" ht="12.75" customFormat="1" customHeight="1" s="76"/>
    <row r="776" ht="12.75" customFormat="1" customHeight="1" s="76"/>
    <row r="777" ht="12.75" customFormat="1" customHeight="1" s="76"/>
    <row r="778" ht="12.75" customFormat="1" customHeight="1" s="76"/>
    <row r="779" ht="12.75" customFormat="1" customHeight="1" s="76"/>
    <row r="780" ht="12.75" customFormat="1" customHeight="1" s="76"/>
    <row r="781" ht="12.75" customFormat="1" customHeight="1" s="76"/>
    <row r="782" ht="12.75" customFormat="1" customHeight="1" s="76"/>
    <row r="783" ht="12.75" customFormat="1" customHeight="1" s="76"/>
    <row r="784" ht="12.75" customFormat="1" customHeight="1" s="76"/>
    <row r="785" ht="12.75" customFormat="1" customHeight="1" s="76"/>
    <row r="786" ht="12.75" customFormat="1" customHeight="1" s="76"/>
    <row r="787" ht="12.75" customFormat="1" customHeight="1" s="76"/>
    <row r="788" ht="12.75" customFormat="1" customHeight="1" s="76"/>
    <row r="789" ht="12.75" customFormat="1" customHeight="1" s="76"/>
    <row r="790" ht="12.75" customFormat="1" customHeight="1" s="76"/>
    <row r="791" ht="12.75" customFormat="1" customHeight="1" s="76"/>
    <row r="792" ht="12.75" customFormat="1" customHeight="1" s="76"/>
    <row r="793" ht="12.75" customFormat="1" customHeight="1" s="76"/>
    <row r="794" ht="12.75" customFormat="1" customHeight="1" s="76"/>
    <row r="795" ht="12.75" customFormat="1" customHeight="1" s="76"/>
    <row r="796" ht="12.75" customFormat="1" customHeight="1" s="76"/>
    <row r="797" ht="12.75" customFormat="1" customHeight="1" s="76"/>
    <row r="798" ht="12.75" customFormat="1" customHeight="1" s="76"/>
    <row r="799" ht="12.75" customFormat="1" customHeight="1" s="76"/>
    <row r="800" ht="12.75" customFormat="1" customHeight="1" s="76"/>
    <row r="801" ht="12.75" customFormat="1" customHeight="1" s="76"/>
    <row r="802" ht="12.75" customFormat="1" customHeight="1" s="76"/>
    <row r="803" ht="12.75" customFormat="1" customHeight="1" s="76"/>
    <row r="804" ht="12.75" customFormat="1" customHeight="1" s="76"/>
    <row r="805" ht="12.75" customFormat="1" customHeight="1" s="76"/>
    <row r="806" ht="12.75" customFormat="1" customHeight="1" s="76"/>
    <row r="807" ht="12.75" customFormat="1" customHeight="1" s="76"/>
    <row r="808" ht="12.75" customFormat="1" customHeight="1" s="76"/>
    <row r="809" ht="12.75" customFormat="1" customHeight="1" s="76"/>
    <row r="810" ht="12.75" customFormat="1" customHeight="1" s="76"/>
    <row r="811" ht="12.75" customFormat="1" customHeight="1" s="76"/>
    <row r="812" ht="12.75" customFormat="1" customHeight="1" s="76"/>
    <row r="813" ht="12.75" customFormat="1" customHeight="1" s="76"/>
    <row r="814" ht="12.75" customFormat="1" customHeight="1" s="76"/>
    <row r="815" ht="12.75" customFormat="1" customHeight="1" s="76"/>
    <row r="816" ht="12.75" customFormat="1" customHeight="1" s="76"/>
    <row r="817" ht="12.75" customFormat="1" customHeight="1" s="76"/>
    <row r="818" ht="12.75" customFormat="1" customHeight="1" s="76"/>
    <row r="819" ht="12.75" customFormat="1" customHeight="1" s="76"/>
    <row r="820" ht="12.75" customFormat="1" customHeight="1" s="76"/>
    <row r="821" ht="12.75" customFormat="1" customHeight="1" s="76"/>
    <row r="822" ht="12.75" customFormat="1" customHeight="1" s="76"/>
    <row r="823" ht="12.75" customFormat="1" customHeight="1" s="76"/>
    <row r="824" ht="12.75" customFormat="1" customHeight="1" s="76"/>
    <row r="825" ht="12.75" customFormat="1" customHeight="1" s="76"/>
    <row r="826" ht="12.75" customFormat="1" customHeight="1" s="76"/>
    <row r="827" ht="12.75" customFormat="1" customHeight="1" s="76"/>
    <row r="828" ht="12.75" customFormat="1" customHeight="1" s="76"/>
    <row r="829" ht="12.75" customFormat="1" customHeight="1" s="76"/>
    <row r="830" ht="12.75" customFormat="1" customHeight="1" s="76"/>
    <row r="831" ht="12.75" customFormat="1" customHeight="1" s="76"/>
    <row r="832" ht="12.75" customFormat="1" customHeight="1" s="76"/>
    <row r="833" ht="12.75" customFormat="1" customHeight="1" s="76"/>
    <row r="834" ht="12.75" customFormat="1" customHeight="1" s="76"/>
    <row r="835" ht="12.75" customFormat="1" customHeight="1" s="76"/>
    <row r="836" ht="12.75" customFormat="1" customHeight="1" s="76"/>
    <row r="837" ht="12.75" customFormat="1" customHeight="1" s="76"/>
    <row r="838" ht="12.75" customFormat="1" customHeight="1" s="76"/>
    <row r="839" ht="12.75" customFormat="1" customHeight="1" s="76"/>
    <row r="840" ht="12.75" customFormat="1" customHeight="1" s="76"/>
    <row r="841" ht="12.75" customFormat="1" customHeight="1" s="76"/>
    <row r="842" ht="12.75" customFormat="1" customHeight="1" s="76"/>
    <row r="843" ht="12.75" customFormat="1" customHeight="1" s="76"/>
    <row r="844" ht="12.75" customFormat="1" customHeight="1" s="76"/>
    <row r="845" ht="12.75" customFormat="1" customHeight="1" s="76"/>
    <row r="846" ht="12.75" customFormat="1" customHeight="1" s="76"/>
    <row r="847" ht="12.75" customFormat="1" customHeight="1" s="76"/>
    <row r="848" ht="12.75" customFormat="1" customHeight="1" s="76"/>
    <row r="849" ht="12.75" customFormat="1" customHeight="1" s="76"/>
    <row r="850" ht="12.75" customFormat="1" customHeight="1" s="76"/>
    <row r="851" ht="12.75" customFormat="1" customHeight="1" s="76"/>
    <row r="852" ht="12.75" customFormat="1" customHeight="1" s="76"/>
    <row r="853" ht="12.75" customFormat="1" customHeight="1" s="76"/>
    <row r="854" ht="12.75" customFormat="1" customHeight="1" s="76"/>
    <row r="855" ht="12.75" customFormat="1" customHeight="1" s="76"/>
    <row r="856" ht="12.75" customFormat="1" customHeight="1" s="76"/>
    <row r="857" ht="12.75" customFormat="1" customHeight="1" s="76"/>
    <row r="858" ht="12.75" customFormat="1" customHeight="1" s="76"/>
    <row r="859" ht="12.75" customFormat="1" customHeight="1" s="76"/>
    <row r="860" ht="12.75" customFormat="1" customHeight="1" s="76"/>
    <row r="861" ht="12.75" customFormat="1" customHeight="1" s="76"/>
    <row r="862" ht="12.75" customFormat="1" customHeight="1" s="76"/>
    <row r="863" ht="12.75" customFormat="1" customHeight="1" s="76"/>
    <row r="864" ht="12.75" customFormat="1" customHeight="1" s="76"/>
    <row r="865" ht="12.75" customFormat="1" customHeight="1" s="76"/>
    <row r="866" ht="12.75" customFormat="1" customHeight="1" s="76"/>
    <row r="867" ht="12.75" customFormat="1" customHeight="1" s="76"/>
    <row r="868" ht="12.75" customFormat="1" customHeight="1" s="76"/>
    <row r="869" ht="12.75" customFormat="1" customHeight="1" s="76"/>
    <row r="870" ht="12.75" customFormat="1" customHeight="1" s="76"/>
    <row r="871" ht="12.75" customFormat="1" customHeight="1" s="76"/>
    <row r="872" ht="12.75" customFormat="1" customHeight="1" s="76"/>
    <row r="873" ht="12.75" customFormat="1" customHeight="1" s="76"/>
    <row r="874" ht="12.75" customFormat="1" customHeight="1" s="76"/>
    <row r="875" ht="12.75" customFormat="1" customHeight="1" s="76"/>
    <row r="876" ht="12.75" customFormat="1" customHeight="1" s="76"/>
    <row r="877" ht="12.75" customFormat="1" customHeight="1" s="76"/>
    <row r="878" ht="12.75" customFormat="1" customHeight="1" s="76"/>
    <row r="879" ht="12.75" customFormat="1" customHeight="1" s="76"/>
    <row r="880" ht="12.75" customFormat="1" customHeight="1" s="76"/>
    <row r="881" ht="12.75" customFormat="1" customHeight="1" s="76"/>
    <row r="882" ht="12.75" customFormat="1" customHeight="1" s="76"/>
    <row r="883" ht="12.75" customFormat="1" customHeight="1" s="76"/>
    <row r="884" ht="12.75" customFormat="1" customHeight="1" s="76"/>
    <row r="885" ht="12.75" customFormat="1" customHeight="1" s="76"/>
    <row r="886" ht="12.75" customFormat="1" customHeight="1" s="76"/>
    <row r="887" ht="12.75" customFormat="1" customHeight="1" s="76"/>
    <row r="888" ht="12.75" customFormat="1" customHeight="1" s="76"/>
    <row r="889" ht="12.75" customFormat="1" customHeight="1" s="76"/>
    <row r="890" ht="12.75" customFormat="1" customHeight="1" s="76"/>
    <row r="891" ht="12.75" customFormat="1" customHeight="1" s="76"/>
    <row r="892" ht="12.75" customFormat="1" customHeight="1" s="76"/>
    <row r="893" ht="12.75" customFormat="1" customHeight="1" s="76"/>
    <row r="894" ht="12.75" customFormat="1" customHeight="1" s="76"/>
    <row r="895" ht="12.75" customFormat="1" customHeight="1" s="76"/>
    <row r="896" ht="12.75" customFormat="1" customHeight="1" s="76"/>
    <row r="897" ht="12.75" customFormat="1" customHeight="1" s="76"/>
    <row r="898" ht="12.75" customFormat="1" customHeight="1" s="76"/>
    <row r="899" ht="12.75" customFormat="1" customHeight="1" s="76"/>
    <row r="900" ht="12.75" customFormat="1" customHeight="1" s="76"/>
    <row r="901" ht="12.75" customFormat="1" customHeight="1" s="76"/>
    <row r="902" ht="12.75" customFormat="1" customHeight="1" s="76"/>
    <row r="903" ht="12.75" customFormat="1" customHeight="1" s="76"/>
    <row r="904" ht="12.75" customFormat="1" customHeight="1" s="76"/>
    <row r="905" ht="12.75" customFormat="1" customHeight="1" s="76"/>
    <row r="906" ht="12.75" customFormat="1" customHeight="1" s="76"/>
    <row r="907" ht="12.75" customFormat="1" customHeight="1" s="76"/>
    <row r="908" ht="12.75" customFormat="1" customHeight="1" s="76"/>
    <row r="909" ht="12.75" customFormat="1" customHeight="1" s="76"/>
    <row r="910" ht="12.75" customFormat="1" customHeight="1" s="76"/>
    <row r="911" ht="12.75" customFormat="1" customHeight="1" s="76"/>
    <row r="912" ht="12.75" customFormat="1" customHeight="1" s="76"/>
    <row r="913" ht="12.75" customFormat="1" customHeight="1" s="76"/>
    <row r="914" ht="12.75" customFormat="1" customHeight="1" s="76"/>
    <row r="915" ht="12.75" customFormat="1" customHeight="1" s="76"/>
    <row r="916" ht="12.75" customFormat="1" customHeight="1" s="76"/>
    <row r="917" ht="12.75" customFormat="1" customHeight="1" s="76"/>
    <row r="918" ht="12.75" customFormat="1" customHeight="1" s="76"/>
    <row r="919" ht="12.75" customFormat="1" customHeight="1" s="76"/>
    <row r="920" ht="12.75" customFormat="1" customHeight="1" s="76"/>
    <row r="921" ht="12.75" customFormat="1" customHeight="1" s="76"/>
    <row r="922" ht="12.75" customFormat="1" customHeight="1" s="76"/>
    <row r="923" ht="12.75" customFormat="1" customHeight="1" s="76"/>
    <row r="924" ht="12.75" customFormat="1" customHeight="1" s="76"/>
    <row r="925" ht="12.75" customFormat="1" customHeight="1" s="76"/>
    <row r="926" ht="12.75" customFormat="1" customHeight="1" s="76"/>
    <row r="927" ht="12.75" customFormat="1" customHeight="1" s="76"/>
    <row r="928" ht="12.75" customFormat="1" customHeight="1" s="76"/>
    <row r="929" ht="12.75" customFormat="1" customHeight="1" s="76"/>
    <row r="930" ht="12.75" customFormat="1" customHeight="1" s="76"/>
    <row r="931" ht="12.75" customFormat="1" customHeight="1" s="76"/>
    <row r="932" ht="12.75" customFormat="1" customHeight="1" s="76"/>
    <row r="933" ht="12.75" customFormat="1" customHeight="1" s="76"/>
    <row r="934" ht="12.75" customFormat="1" customHeight="1" s="76"/>
    <row r="935" ht="12.75" customFormat="1" customHeight="1" s="76"/>
    <row r="936" ht="12.75" customFormat="1" customHeight="1" s="76"/>
    <row r="937" ht="12.75" customFormat="1" customHeight="1" s="76"/>
    <row r="938" ht="12.75" customFormat="1" customHeight="1" s="76"/>
    <row r="939" ht="12.75" customFormat="1" customHeight="1" s="76"/>
    <row r="940" ht="12.75" customFormat="1" customHeight="1" s="76"/>
    <row r="941" ht="12.75" customFormat="1" customHeight="1" s="76"/>
    <row r="942" ht="12.75" customFormat="1" customHeight="1" s="76"/>
    <row r="943" ht="12.75" customFormat="1" customHeight="1" s="76"/>
    <row r="944" ht="12.75" customFormat="1" customHeight="1" s="76"/>
    <row r="945" ht="12.75" customFormat="1" customHeight="1" s="76"/>
    <row r="946" ht="12.75" customFormat="1" customHeight="1" s="76"/>
    <row r="947" ht="12.75" customFormat="1" customHeight="1" s="76"/>
    <row r="948" ht="12.75" customFormat="1" customHeight="1" s="76"/>
    <row r="949" ht="12.75" customFormat="1" customHeight="1" s="76"/>
    <row r="950" ht="12.75" customFormat="1" customHeight="1" s="76"/>
    <row r="951" ht="12.75" customFormat="1" customHeight="1" s="76"/>
    <row r="952" ht="12.75" customFormat="1" customHeight="1" s="76"/>
    <row r="953" ht="12.75" customFormat="1" customHeight="1" s="76"/>
    <row r="954" ht="12.75" customFormat="1" customHeight="1" s="76"/>
    <row r="955" ht="12.75" customFormat="1" customHeight="1" s="76"/>
    <row r="956" ht="12.75" customFormat="1" customHeight="1" s="76"/>
    <row r="957" ht="12.75" customFormat="1" customHeight="1" s="76"/>
    <row r="958" ht="12.75" customFormat="1" customHeight="1" s="76"/>
    <row r="959" ht="12.75" customFormat="1" customHeight="1" s="76"/>
    <row r="960" ht="12.75" customFormat="1" customHeight="1" s="76"/>
    <row r="961" ht="12.75" customFormat="1" customHeight="1" s="76"/>
    <row r="962" ht="12.75" customFormat="1" customHeight="1" s="76"/>
    <row r="963" ht="12.75" customFormat="1" customHeight="1" s="76"/>
    <row r="964" ht="12.75" customFormat="1" customHeight="1" s="76"/>
    <row r="965" ht="12.75" customFormat="1" customHeight="1" s="76"/>
    <row r="966" ht="12.75" customFormat="1" customHeight="1" s="76"/>
    <row r="967" ht="12.75" customFormat="1" customHeight="1" s="76"/>
    <row r="968" ht="12.75" customFormat="1" customHeight="1" s="76"/>
    <row r="969" ht="12.75" customFormat="1" customHeight="1" s="76"/>
    <row r="970" ht="12.75" customFormat="1" customHeight="1" s="76"/>
    <row r="971" ht="12.75" customFormat="1" customHeight="1" s="76"/>
    <row r="972" ht="12.75" customFormat="1" customHeight="1" s="76"/>
    <row r="973" ht="12.75" customFormat="1" customHeight="1" s="76"/>
    <row r="974" ht="12.75" customFormat="1" customHeight="1" s="76"/>
    <row r="975" ht="12.75" customFormat="1" customHeight="1" s="76"/>
    <row r="976" ht="12.75" customFormat="1" customHeight="1" s="76"/>
    <row r="977" ht="12.75" customFormat="1" customHeight="1" s="76"/>
    <row r="978" ht="12.75" customFormat="1" customHeight="1" s="76"/>
    <row r="979" ht="12.75" customFormat="1" customHeight="1" s="76"/>
    <row r="980" ht="12.75" customFormat="1" customHeight="1" s="76"/>
    <row r="981" ht="12.75" customFormat="1" customHeight="1" s="76"/>
    <row r="982" ht="12.75" customFormat="1" customHeight="1" s="76"/>
    <row r="983" ht="12.75" customFormat="1" customHeight="1" s="76"/>
    <row r="984" ht="12.75" customFormat="1" customHeight="1" s="76"/>
    <row r="985" ht="12.75" customFormat="1" customHeight="1" s="76"/>
    <row r="986" ht="12.75" customFormat="1" customHeight="1" s="76"/>
    <row r="987" ht="12.75" customFormat="1" customHeight="1" s="76"/>
    <row r="988" ht="12.75" customFormat="1" customHeight="1" s="76"/>
    <row r="989" ht="12.75" customFormat="1" customHeight="1" s="76"/>
    <row r="990" ht="12.75" customFormat="1" customHeight="1" s="76"/>
    <row r="991" ht="12.75" customFormat="1" customHeight="1" s="76"/>
    <row r="992" ht="12.75" customFormat="1" customHeight="1" s="76"/>
    <row r="993" ht="12.75" customFormat="1" customHeight="1" s="76"/>
    <row r="994" ht="12.75" customFormat="1" customHeight="1" s="76"/>
    <row r="995" ht="12.75" customFormat="1" customHeight="1" s="76"/>
    <row r="996" ht="12.75" customFormat="1" customHeight="1" s="76"/>
    <row r="997" ht="12.75" customFormat="1" customHeight="1" s="76"/>
    <row r="998" ht="12.75" customFormat="1" customHeight="1" s="76"/>
    <row r="999" ht="12.75" customFormat="1" customHeight="1" s="76"/>
    <row r="1000" ht="12.75" customFormat="1" customHeight="1" s="76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2.75"/>
  <cols>
    <col width="2.42578125" customWidth="1" min="1" max="1"/>
    <col width="34" customWidth="1" min="2" max="2"/>
    <col width="90" customWidth="1" min="3" max="3"/>
    <col width="10" customWidth="1" min="4" max="4"/>
  </cols>
  <sheetData>
    <row r="1" ht="38.1" customHeight="1">
      <c r="A1" s="47" t="n"/>
      <c r="B1" s="47" t="n"/>
      <c r="C1" s="47" t="n"/>
      <c r="D1" s="47" t="n"/>
    </row>
    <row r="2" ht="38.1" customHeight="1">
      <c r="A2" s="49" t="inlineStr">
        <is>
          <t>1.</t>
        </is>
      </c>
      <c r="B2" s="49" t="inlineStr">
        <is>
          <t>Что агент</t>
        </is>
      </c>
      <c r="C2" s="49" t="n"/>
      <c r="D2" s="49" t="n"/>
    </row>
    <row r="3" ht="38.1" customHeight="1">
      <c r="A3" s="49" t="inlineStr">
        <is>
          <t>2.</t>
        </is>
      </c>
      <c r="B3" s="49" t="n"/>
      <c r="C3" s="49" t="n"/>
      <c r="D3" s="49" t="n"/>
    </row>
    <row r="4" ht="38.1" customHeight="1">
      <c r="A4" s="49" t="inlineStr">
        <is>
          <t>3.</t>
        </is>
      </c>
      <c r="B4" s="49" t="n"/>
      <c r="C4" s="49" t="n"/>
      <c r="D4" s="49" t="n"/>
    </row>
    <row r="5" ht="38.1" customHeight="1">
      <c r="A5" s="49" t="inlineStr">
        <is>
          <t>4.</t>
        </is>
      </c>
      <c r="B5" s="49" t="n"/>
      <c r="C5" s="49" t="n"/>
      <c r="D5" s="49" t="n"/>
    </row>
    <row r="6" ht="38.1" customHeight="1">
      <c r="A6" s="49" t="inlineStr">
        <is>
          <t>5.</t>
        </is>
      </c>
      <c r="B6" s="49" t="n"/>
      <c r="C6" s="49" t="n"/>
      <c r="D6" s="49" t="n"/>
    </row>
    <row r="7" ht="38.1" customHeight="1">
      <c r="A7" s="49" t="inlineStr">
        <is>
          <t>6.</t>
        </is>
      </c>
      <c r="B7" s="49" t="n"/>
      <c r="C7" s="49" t="n"/>
      <c r="D7" s="49" t="n"/>
    </row>
    <row r="8" ht="38.1" customHeight="1">
      <c r="A8" s="49" t="inlineStr">
        <is>
          <t>7.</t>
        </is>
      </c>
      <c r="B8" s="49" t="n"/>
      <c r="C8" s="49" t="n"/>
      <c r="D8" s="49" t="n"/>
    </row>
    <row r="9" ht="38.1" customHeight="1">
      <c r="A9" s="49" t="inlineStr">
        <is>
          <t>8.</t>
        </is>
      </c>
      <c r="B9" s="49" t="n"/>
      <c r="C9" s="49" t="n"/>
      <c r="D9" s="49" t="n"/>
    </row>
    <row r="10" ht="38.1" customHeight="1">
      <c r="A10" s="49" t="inlineStr">
        <is>
          <t>9.</t>
        </is>
      </c>
      <c r="B10" s="49" t="n"/>
      <c r="C10" s="49" t="n"/>
      <c r="D10" s="49" t="n"/>
    </row>
    <row r="11" ht="38.1" customHeight="1">
      <c r="A11" s="49" t="inlineStr">
        <is>
          <t>10.</t>
        </is>
      </c>
      <c r="B11" s="49" t="n"/>
      <c r="C11" s="49" t="n"/>
      <c r="D11" s="49" t="n"/>
    </row>
    <row r="12" ht="38.1" customHeight="1">
      <c r="A12" s="49" t="n"/>
      <c r="B12" s="49" t="n"/>
      <c r="C12" s="49" t="n"/>
      <c r="D12" s="49" t="n"/>
    </row>
    <row r="13" ht="38.1" customHeight="1">
      <c r="A13" s="49" t="n"/>
      <c r="B13" s="49" t="n"/>
      <c r="C13" s="49" t="n"/>
      <c r="D13" s="49" t="n"/>
    </row>
    <row r="14" ht="38.1" customHeight="1">
      <c r="A14" s="49" t="n"/>
      <c r="B14" s="49" t="n"/>
      <c r="C14" s="49" t="n"/>
      <c r="D14" s="49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2.75"/>
  <cols>
    <col width="26" customWidth="1" min="1" max="8"/>
  </cols>
  <sheetData>
    <row r="1">
      <c r="A1" s="50" t="inlineStr">
        <is>
          <t>Тип кадра</t>
        </is>
      </c>
      <c r="B1" s="50" t="inlineStr">
        <is>
          <t>Статус продолжения</t>
        </is>
      </c>
      <c r="C1" s="50" t="inlineStr">
        <is>
          <t>Основа изображения</t>
        </is>
      </c>
      <c r="D1" s="50" t="inlineStr">
        <is>
          <t>Тип фона</t>
        </is>
      </c>
      <c r="E1" s="50" t="inlineStr">
        <is>
          <t>Режим персонажа</t>
        </is>
      </c>
      <c r="F1" s="50" t="inlineStr">
        <is>
          <t>Тип референса</t>
        </is>
      </c>
      <c r="G1" s="50" t="inlineStr">
        <is>
          <t>Переход</t>
        </is>
      </c>
      <c r="H1" s="50" t="inlineStr">
        <is>
          <t>Статус</t>
        </is>
      </c>
    </row>
    <row r="2">
      <c r="A2" s="48" t="inlineStr">
        <is>
          <t>новый основной кадр</t>
        </is>
      </c>
      <c r="B2" s="48" t="inlineStr">
        <is>
          <t>не продолжение</t>
        </is>
      </c>
      <c r="C2" s="48" t="inlineStr">
        <is>
          <t>фон + персонаж</t>
        </is>
      </c>
      <c r="D2" s="48" t="inlineStr">
        <is>
          <t>новый фон</t>
        </is>
      </c>
      <c r="E2" s="48" t="inlineStr">
        <is>
          <t>без персонажа</t>
        </is>
      </c>
      <c r="F2" s="48" t="inlineStr">
        <is>
          <t>итоговый референс кадра</t>
        </is>
      </c>
      <c r="G2" s="48" t="inlineStr">
        <is>
          <t>резкая склейка</t>
        </is>
      </c>
      <c r="H2" s="48" t="inlineStr">
        <is>
          <t>черновик</t>
        </is>
      </c>
    </row>
    <row r="3" ht="25.5" customHeight="1">
      <c r="A3" s="48" t="inlineStr">
        <is>
          <t>прямое продолжение</t>
        </is>
      </c>
      <c r="B3" s="48" t="inlineStr">
        <is>
          <t>прямое продолжение прошлого кадра</t>
        </is>
      </c>
      <c r="C3" s="48" t="inlineStr">
        <is>
          <t>готовый референс</t>
        </is>
      </c>
      <c r="D3" s="48" t="inlineStr">
        <is>
          <t>продолжение фона</t>
        </is>
      </c>
      <c r="E3" s="48" t="inlineStr">
        <is>
          <t>новый персонаж</t>
        </is>
      </c>
      <c r="F3" s="48" t="inlineStr">
        <is>
          <t>референс фона</t>
        </is>
      </c>
      <c r="G3" s="48" t="inlineStr">
        <is>
          <t>плавный переход</t>
        </is>
      </c>
      <c r="H3" s="48" t="inlineStr">
        <is>
          <t>готово к фото-референсу</t>
        </is>
      </c>
    </row>
    <row r="4" ht="25.5" customHeight="1">
      <c r="A4" s="48" t="inlineStr">
        <is>
          <t>промежуточный кадр</t>
        </is>
      </c>
      <c r="B4" s="48" t="inlineStr">
        <is>
          <t>на основе исходного референса</t>
        </is>
      </c>
      <c r="C4" s="48" t="inlineStr">
        <is>
          <t>прошлый кадр</t>
        </is>
      </c>
      <c r="D4" s="48" t="inlineStr">
        <is>
          <t>фон на основе референса</t>
        </is>
      </c>
      <c r="E4" s="48" t="inlineStr">
        <is>
          <t>тот же персонаж</t>
        </is>
      </c>
      <c r="F4" s="48" t="inlineStr">
        <is>
          <t>референс персонажа</t>
        </is>
      </c>
      <c r="G4" s="48" t="inlineStr">
        <is>
          <t>match cut</t>
        </is>
      </c>
      <c r="H4" s="48" t="inlineStr">
        <is>
          <t>фото утверждено</t>
        </is>
      </c>
    </row>
    <row r="5" ht="25.5" customHeight="1">
      <c r="A5" s="48" t="inlineStr">
        <is>
          <t>резкий переход</t>
        </is>
      </c>
      <c r="B5" s="48" t="inlineStr">
        <is>
          <t>на основе фона</t>
        </is>
      </c>
      <c r="C5" s="48" t="inlineStr">
        <is>
          <t>только фон</t>
        </is>
      </c>
      <c r="D5" s="48" t="inlineStr">
        <is>
          <t>предметная сцена</t>
        </is>
      </c>
      <c r="E5" s="48" t="inlineStr">
        <is>
          <t>тот же персонаж с изменением позы</t>
        </is>
      </c>
      <c r="F5" s="48" t="inlineStr">
        <is>
          <t>промежуточный референс</t>
        </is>
      </c>
      <c r="G5" s="48" t="inlineStr">
        <is>
          <t>через движение</t>
        </is>
      </c>
      <c r="H5" s="48" t="inlineStr">
        <is>
          <t>готово к видео</t>
        </is>
      </c>
    </row>
    <row r="6" ht="25.5" customHeight="1">
      <c r="A6" s="48" t="inlineStr">
        <is>
          <t>cutaway / вставка</t>
        </is>
      </c>
      <c r="B6" s="48" t="inlineStr">
        <is>
          <t>на основе персонажа</t>
        </is>
      </c>
      <c r="C6" s="48" t="inlineStr">
        <is>
          <t>только персонаж</t>
        </is>
      </c>
      <c r="D6" s="48" t="inlineStr">
        <is>
          <t>интерьер</t>
        </is>
      </c>
      <c r="E6" s="48" t="inlineStr">
        <is>
          <t>тот же персонаж с изменением эмоции</t>
        </is>
      </c>
      <c r="F6" s="48" t="inlineStr">
        <is>
          <t>референс перехода</t>
        </is>
      </c>
      <c r="G6" s="48" t="inlineStr">
        <is>
          <t>через предмет</t>
        </is>
      </c>
      <c r="H6" s="48" t="inlineStr">
        <is>
          <t>нужна правка</t>
        </is>
      </c>
    </row>
    <row r="7" ht="25.5" customHeight="1">
      <c r="A7" s="48" t="inlineStr">
        <is>
          <t>финальный кадр сцены</t>
        </is>
      </c>
      <c r="B7" s="48" t="inlineStr">
        <is>
          <t>новая сцена</t>
        </is>
      </c>
      <c r="C7" s="48" t="inlineStr">
        <is>
          <t>фон + предмет, без персонажа</t>
        </is>
      </c>
      <c r="D7" s="48" t="inlineStr">
        <is>
          <t>экстерьер</t>
        </is>
      </c>
      <c r="E7" s="48" t="inlineStr">
        <is>
          <t>другой персонаж</t>
        </is>
      </c>
      <c r="F7" s="48" t="n"/>
      <c r="G7" s="48" t="inlineStr">
        <is>
          <t>через свет</t>
        </is>
      </c>
      <c r="H7" s="48" t="inlineStr">
        <is>
          <t>заблокировано</t>
        </is>
      </c>
    </row>
    <row r="8">
      <c r="A8" s="48" t="n"/>
      <c r="B8" s="48" t="n"/>
      <c r="C8" s="48" t="n"/>
      <c r="D8" s="48" t="n"/>
      <c r="E8" s="48" t="n"/>
      <c r="F8" s="48" t="n"/>
      <c r="G8" s="48" t="inlineStr">
        <is>
          <t>из темноты</t>
        </is>
      </c>
      <c r="H8" s="48" t="n"/>
    </row>
    <row r="9">
      <c r="A9" s="48" t="n"/>
      <c r="B9" s="48" t="n"/>
      <c r="C9" s="48" t="n"/>
      <c r="D9" s="48" t="n"/>
      <c r="E9" s="48" t="n"/>
      <c r="F9" s="48" t="n"/>
      <c r="G9" s="48" t="inlineStr">
        <is>
          <t>в темноту</t>
        </is>
      </c>
      <c r="H9" s="48" t="n"/>
    </row>
    <row r="10">
      <c r="A10" s="48" t="n"/>
      <c r="B10" s="48" t="n"/>
      <c r="C10" s="48" t="n"/>
      <c r="D10" s="48" t="n"/>
      <c r="E10" s="48" t="n"/>
      <c r="F10" s="48" t="n"/>
      <c r="G10" s="48" t="inlineStr">
        <is>
          <t>без перехода</t>
        </is>
      </c>
      <c r="H10" s="4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2026-05-13T21:39:13Z</dcterms:created>
  <dcterms:modified xsi:type="dcterms:W3CDTF">2026-05-13T21:42:34Z</dcterms:modified>
  <cp:lastModifiedBy>aicreator</cp:lastModifiedBy>
</cp:coreProperties>
</file>