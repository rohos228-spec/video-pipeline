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icreator\Downloads\Telegram Desktop\"/>
    </mc:Choice>
  </mc:AlternateContent>
  <xr:revisionPtr revIDLastSave="0" documentId="13_ncr:1_{4A794A0C-CBB9-4757-8290-38D036A515E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идеи роликов" sheetId="1" r:id="rId1"/>
    <sheet name="Общий план" sheetId="2" r:id="rId2"/>
    <sheet name="план" sheetId="3" r:id="rId3"/>
    <sheet name="Фоны" sheetId="4" r:id="rId4"/>
    <sheet name="Предметы" sheetId="5" r:id="rId5"/>
    <sheet name="Персонажи" sheetId="6" r:id="rId6"/>
    <sheet name="AI draft" sheetId="7" r:id="rId7"/>
    <sheet name="промт фото" sheetId="8" r:id="rId8"/>
    <sheet name="промт видео" sheetId="9" r:id="rId9"/>
    <sheet name="промт текста" sheetId="10" r:id="rId10"/>
    <sheet name="Промт для GPT" sheetId="11" r:id="rId11"/>
    <sheet name="промт плана" sheetId="12" r:id="rId12"/>
    <sheet name="Инструкция_агнета" sheetId="13" r:id="rId13"/>
    <sheet name="Справочники_блоки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154" i="3" l="1"/>
  <c r="CL154" i="3"/>
  <c r="CK154" i="3"/>
  <c r="CJ154" i="3"/>
  <c r="CI154" i="3"/>
  <c r="CH154" i="3"/>
  <c r="CG154" i="3"/>
  <c r="CF154" i="3"/>
  <c r="CE154" i="3"/>
  <c r="CD154" i="3"/>
  <c r="CC154" i="3"/>
  <c r="CB154" i="3"/>
  <c r="CA154" i="3"/>
  <c r="BZ154" i="3"/>
  <c r="BY154" i="3"/>
  <c r="BX154" i="3"/>
  <c r="BW154" i="3"/>
  <c r="BV154" i="3"/>
  <c r="BU154" i="3"/>
  <c r="BT154" i="3"/>
  <c r="BS154" i="3"/>
  <c r="BR154" i="3"/>
  <c r="BQ154" i="3"/>
  <c r="BP154" i="3"/>
  <c r="BO154" i="3"/>
  <c r="BN154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M153" i="3"/>
  <c r="CL153" i="3"/>
  <c r="CK153" i="3"/>
  <c r="CJ153" i="3"/>
  <c r="CI153" i="3"/>
  <c r="CH153" i="3"/>
  <c r="CG153" i="3"/>
  <c r="CF153" i="3"/>
  <c r="CE153" i="3"/>
  <c r="CD153" i="3"/>
  <c r="CC153" i="3"/>
  <c r="CB153" i="3"/>
  <c r="CA153" i="3"/>
  <c r="BZ153" i="3"/>
  <c r="BY153" i="3"/>
  <c r="BX153" i="3"/>
  <c r="BW153" i="3"/>
  <c r="BV153" i="3"/>
  <c r="BU153" i="3"/>
  <c r="BT153" i="3"/>
  <c r="BS153" i="3"/>
  <c r="BR153" i="3"/>
  <c r="BQ153" i="3"/>
  <c r="BP153" i="3"/>
  <c r="BO153" i="3"/>
  <c r="BN153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</calcChain>
</file>

<file path=xl/sharedStrings.xml><?xml version="1.0" encoding="utf-8"?>
<sst xmlns="http://schemas.openxmlformats.org/spreadsheetml/2006/main" count="561" uniqueCount="529">
  <si>
    <t>Общая драматургическая идея</t>
  </si>
  <si>
    <t>Главная тема</t>
  </si>
  <si>
    <t>Главная мысль</t>
  </si>
  <si>
    <t>Смысл для зрителя</t>
  </si>
  <si>
    <t>Темы и подтемы</t>
  </si>
  <si>
    <t>Название блока</t>
  </si>
  <si>
    <t>Подтемы</t>
  </si>
  <si>
    <t>Функция блока</t>
  </si>
  <si>
    <t>Логическая роль</t>
  </si>
  <si>
    <t>Поэпизодный план на 12 минут</t>
  </si>
  <si>
    <t>№ / название</t>
  </si>
  <si>
    <t>Таймкод</t>
  </si>
  <si>
    <t>Объём, знаков</t>
  </si>
  <si>
    <t>Что раскрыть в этом фрагменте</t>
  </si>
  <si>
    <t>Краткий итог</t>
  </si>
  <si>
    <t>кадр1</t>
  </si>
  <si>
    <t>id scene</t>
  </si>
  <si>
    <t>id shot</t>
  </si>
  <si>
    <t>номер кадра</t>
  </si>
  <si>
    <t>предыдущий кадр</t>
  </si>
  <si>
    <t>следующий кадр</t>
  </si>
  <si>
    <t>фон</t>
  </si>
  <si>
    <t>персонажи</t>
  </si>
  <si>
    <t>предметы</t>
  </si>
  <si>
    <t>действие</t>
  </si>
  <si>
    <t>описание кадра</t>
  </si>
  <si>
    <t>логика перехода</t>
  </si>
  <si>
    <t>заметки по консистенции</t>
  </si>
  <si>
    <t>статус</t>
  </si>
  <si>
    <t>кадр2</t>
  </si>
  <si>
    <t>кадр3</t>
  </si>
  <si>
    <t>промт для картинки 1</t>
  </si>
  <si>
    <t>промт для картинки 2</t>
  </si>
  <si>
    <t>промт для картинки 3</t>
  </si>
  <si>
    <t>промт для видео</t>
  </si>
  <si>
    <t>закадровый текст</t>
  </si>
  <si>
    <t>Время на кадр</t>
  </si>
  <si>
    <t>главное действие в кадре</t>
  </si>
  <si>
    <t>Герой кадра</t>
  </si>
  <si>
    <t>Кто главный в этом моменте? Чья это сцена?</t>
  </si>
  <si>
    <t>Внешняя цель героя</t>
  </si>
  <si>
    <t>Что герой хочет получить прямо сейчас — видимое действие или результат?</t>
  </si>
  <si>
    <t>Препятствие</t>
  </si>
  <si>
    <t>Кто или что мешает герою добиться цели?</t>
  </si>
  <si>
    <t>Ставки</t>
  </si>
  <si>
    <t>Что герой потеряет, если не добьется своего?</t>
  </si>
  <si>
    <t>Внутренняя потребность</t>
  </si>
  <si>
    <t>Что герой на самом деле пытается скрыть, доказать, защитить или получить?</t>
  </si>
  <si>
    <t>Видимое действие</t>
  </si>
  <si>
    <t>Что зритель увидит или услышит? Без внутренних объяснений вроде «он понял», «она боится», «ему больно».</t>
  </si>
  <si>
    <t>Ключевой конфликт</t>
  </si>
  <si>
    <t>В чем столкновение: человек против человека, среды, времени, закона, страха, вины, секрета?</t>
  </si>
  <si>
    <t>Поворот</t>
  </si>
  <si>
    <t>Что меняется к концу сцены или кадра: информация, власть, отношение, риск, решение?</t>
  </si>
  <si>
    <t>Переход к следующей сцене</t>
  </si>
  <si>
    <t>Какой вопрос, действие, звук, предмет или последствие ведет зрителя дальше?</t>
  </si>
  <si>
    <t>Последний кадр</t>
  </si>
  <si>
    <t>Какой конкретный образ остается в памяти и показывает новое состояние героя или ситуации?</t>
  </si>
  <si>
    <t>ID фона</t>
  </si>
  <si>
    <t>f01</t>
  </si>
  <si>
    <t>f02</t>
  </si>
  <si>
    <t>f03</t>
  </si>
  <si>
    <t>f04</t>
  </si>
  <si>
    <t>f05</t>
  </si>
  <si>
    <t>f06</t>
  </si>
  <si>
    <t>f07</t>
  </si>
  <si>
    <t>f08</t>
  </si>
  <si>
    <t>Тип фона</t>
  </si>
  <si>
    <t>Основа фона / референса</t>
  </si>
  <si>
    <t>Изменения на основе референса</t>
  </si>
  <si>
    <t>Место</t>
  </si>
  <si>
    <t>Эпоха / временной слой</t>
  </si>
  <si>
    <t>Атмосфера</t>
  </si>
  <si>
    <t>Геометрия пространства</t>
  </si>
  <si>
    <t>Ключевые предметы фона</t>
  </si>
  <si>
    <t>Материалы и фактуры</t>
  </si>
  <si>
    <t>Свет фона</t>
  </si>
  <si>
    <t>Цветовая палитра фона</t>
  </si>
  <si>
    <t>Что нельзя добавлять в фон</t>
  </si>
  <si>
    <t>Погода</t>
  </si>
  <si>
    <t>Негативный промт фона</t>
  </si>
  <si>
    <t>передний план</t>
  </si>
  <si>
    <t>средний план</t>
  </si>
  <si>
    <t>задний план</t>
  </si>
  <si>
    <t>камера</t>
  </si>
  <si>
    <t>формат камеры</t>
  </si>
  <si>
    <t>линза</t>
  </si>
  <si>
    <t>стиль фона</t>
  </si>
  <si>
    <t>ИТОГОВЫЙ ПРОМТ ФОНА</t>
  </si>
  <si>
    <t>ФИНАЛЬНЫЙ ПРОМТ ФОНА</t>
  </si>
  <si>
    <t>создай сетку из 4 кадров фона с 4 разных сторон, консистентность обьектов, предметов, освещения между кадрами, запрещено двигать обьекты, твоя задача показать один и тот же фон прямо слева справа сзади</t>
  </si>
  <si>
    <t>предметы id</t>
  </si>
  <si>
    <t>название</t>
  </si>
  <si>
    <t>описание</t>
  </si>
  <si>
    <t>постоянный или нет</t>
  </si>
  <si>
    <t>когда появляется</t>
  </si>
  <si>
    <t>у кого находится</t>
  </si>
  <si>
    <t>правила</t>
  </si>
  <si>
    <t>ID персонажа</t>
  </si>
  <si>
    <t>c01</t>
  </si>
  <si>
    <t>c02</t>
  </si>
  <si>
    <t>c03</t>
  </si>
  <si>
    <t>c04</t>
  </si>
  <si>
    <t>c05</t>
  </si>
  <si>
    <t>character_id</t>
  </si>
  <si>
    <t>имя</t>
  </si>
  <si>
    <t>внешность</t>
  </si>
  <si>
    <t>одежда</t>
  </si>
  <si>
    <t>характер</t>
  </si>
  <si>
    <t>ФИНАЛЬНЫЙ ПРОМТ ПЕРСОНАЖА</t>
  </si>
  <si>
    <t>ТЫ — ГЕНЕРАТОР ВИЗУАЛЬНЫХ ПРОМТОВ ДЛЯ ИЛЛЮСТРАЦИЙ И КАДРОВ ПО ЗАКАДРОВОМУ ТЕКСТУ.</t>
  </si>
  <si>
    <t>ТВОЯ ЗАДАЧА:</t>
  </si>
  <si>
    <t>На основе одной отдельной мысли из закадрового текста создать 1 законченный, визуально сильный, конкретный промт для генерации изображения.</t>
  </si>
  <si>
    <t>ГЛАВНАЯ ЦЕЛЬ:</t>
  </si>
  <si>
    <t>Сделать кадр понятным, кинематографичным, разнообразным по среде и композиции, без шаблонных фонов вроде книги, комнаты, кабинета, если этого прямо не требует смысл сцены.</t>
  </si>
  <si>
    <t>0. МИР ПЕРСОНАЖЕЙ</t>
  </si>
  <si>
    <t>Все персонажи в этом мире — только антропоморфные коты.</t>
  </si>
  <si>
    <t>Это правило действует на:</t>
  </si>
  <si>
    <t>главного героя</t>
  </si>
  <si>
    <t>второстепенных персонажей</t>
  </si>
  <si>
    <t>прохожих</t>
  </si>
  <si>
    <t>толпу</t>
  </si>
  <si>
    <t>рабочих</t>
  </si>
  <si>
    <t>соседей</t>
  </si>
  <si>
    <t>продавцов</t>
  </si>
  <si>
    <t>случайных свидетелей</t>
  </si>
  <si>
    <t>любые фигуры в кадре</t>
  </si>
  <si>
    <t>Запрещено:</t>
  </si>
  <si>
    <t>делать людей вместо персонажей</t>
  </si>
  <si>
    <t>делать человеческие лица</t>
  </si>
  <si>
    <t>делать человеческую массовку</t>
  </si>
  <si>
    <t>подменять второстепенных персонажей людьми</t>
  </si>
  <si>
    <t>смешивать людей и антропоморфных котов в одной сцене</t>
  </si>
  <si>
    <t>делать обычных котов на четырёх лапах вместо полноценных антропоморфных персонажей, если это не отдельный осмысленный элемент сцены</t>
  </si>
  <si>
    <t>Любой персонаж в кадре должен ясно считываться именно как anthropomorphic cat:</t>
  </si>
  <si>
    <t>кошачья морда</t>
  </si>
  <si>
    <t>кошачьи уши</t>
  </si>
  <si>
    <t>шерсть</t>
  </si>
  <si>
    <t>кошачья пластика</t>
  </si>
  <si>
    <t>при этом человеческие позы, жесты, одежда, профессия и действия допустимы и желательны</t>
  </si>
  <si>
    <t>1. ПРИНЦИП РАБОТЫ</t>
  </si>
  <si>
    <t>Каждый промт создаётся только на основе ОДНОЙ идеи, ОДНОЙ строки, ОДНОГО смыслового фрагмента.</t>
  </si>
  <si>
    <t>Нельзя:</t>
  </si>
  <si>
    <t>смешивать несколько соседних мыслей в одном кадре</t>
  </si>
  <si>
    <t>переписывать текст дословно</t>
  </si>
  <si>
    <t>копировать окружение из предыдущих сцен автоматически</t>
  </si>
  <si>
    <t>повторять одно и то же место или тип окружения более 2 раз подряд</t>
  </si>
  <si>
    <t>Нужно:</t>
  </si>
  <si>
    <t>переводить смысл текста в визуально наблюдаемую сцену</t>
  </si>
  <si>
    <t>выбирать среду, действие и детали так, чтобы сцена была цепляющей, конкретной и визуально сильной</t>
  </si>
  <si>
    <t>избегать пустых и неиграбельных формулировок</t>
  </si>
  <si>
    <t>2. КЛЮЧЕВОЕ ПРАВИЛО РЕАЛИСТИЧНОСТИ</t>
  </si>
  <si>
    <t>Если сцена подаётся как реальная, историческая, бытовая, физически наблюдаемая или сюжетная, запрещено:</t>
  </si>
  <si>
    <t>добавлять нереальные объекты</t>
  </si>
  <si>
    <t>добавлять магические эффекты</t>
  </si>
  <si>
    <t>добавлять сюрреалистические элементы</t>
  </si>
  <si>
    <t>добавлять метафорические предметы в реальное пространство</t>
  </si>
  <si>
    <t>добавлять левитацию</t>
  </si>
  <si>
    <t>добавлять абстрактные символы в воздухе</t>
  </si>
  <si>
    <t>Всё в кадре должно быть физически возможным и естественным для мира сцены.</t>
  </si>
  <si>
    <t>Нереальные, символические, абстрактные, метафорические элементы допустимы только если:</t>
  </si>
  <si>
    <t>это абстрактный план</t>
  </si>
  <si>
    <t>это явно концептуальная вставка</t>
  </si>
  <si>
    <t>это не реальная сцена, а визуализация идеи, эмоции, памяти, страха, времени или внутреннего состояния</t>
  </si>
  <si>
    <t>Если сцена абстрактная, это должно быть очевидно из формулировки промта.</t>
  </si>
  <si>
    <t>3. ОСОБОЕ ПРАВИЛО ДЛЯ АБСТРАКТНЫХ ФРАЗ</t>
  </si>
  <si>
    <t>Если текст абстрактный, философский, эмоциональный или в нём нет прямого визуального действия, не уходи по умолчанию в:</t>
  </si>
  <si>
    <t>комнату</t>
  </si>
  <si>
    <t>библиотеку</t>
  </si>
  <si>
    <t>книги</t>
  </si>
  <si>
    <t>письменный стол</t>
  </si>
  <si>
    <t>персонажа у окна</t>
  </si>
  <si>
    <t>кабинет</t>
  </si>
  <si>
    <t>пустой интерьер</t>
  </si>
  <si>
    <t>Вместо этого сначала найди, какой тип визуализации лучше подходит для этой абстрактной мысли.</t>
  </si>
  <si>
    <t>Выбирай один из 5 способов визуализации:</t>
  </si>
  <si>
    <t>1. СИМВОЛИЧЕСКОЕ ДЕЙСТВИЕ</t>
  </si>
  <si>
    <t>Покажи идею через конкретное действие персонажа или группы персонажей.</t>
  </si>
  <si>
    <t>2. СРЕДА КАК МЕТАФОРА</t>
  </si>
  <si>
    <t>Передай смысл через место: улица, поле, вокзал, фабрика, крыша, порт, рынок, разрушенный двор, туманная набережная, пустая площадь, коридор завода, лестничный пролёт, архив, подземный переход, поезд, мастерская и так далее.</t>
  </si>
  <si>
    <t>3. ПРЕДМЕТНЫЙ СИМВОЛИЗМ БЕЗ СЮРРЕАЛИЗМА</t>
  </si>
  <si>
    <t>Используй реальные объекты, которые дают нужную ассоциацию: старые письма, разбитые часы, выцветшие плакаты, пустые стулья, мокрая мостовая, следы на снегу, недостроенная стена, чемоданы, потёртые таблички, закрытые ставни.</t>
  </si>
  <si>
    <t>4. ПОСЛЕДСТВИЕ СОБЫТИЯ</t>
  </si>
  <si>
    <t>Покажи не саму абстрактную мысль, а следствие: опустевшее место, следы спешки, напряжённые позы, сжатые руки, разорванные афиши, брошенные вещи, очередь, ожидание, усталость.</t>
  </si>
  <si>
    <t>5. ЧИСТО АБСТРАКТНЫЙ ПЛАН</t>
  </si>
  <si>
    <t>Используй только если смысл невозможно выразить реалистично. Тогда можно делать условную, метафорическую, концептуальную композицию. В этом случае обязательно явно помечай сцену как абстрактную, символическую или метафорическую.</t>
  </si>
  <si>
    <t>Сначала пытайся решить сцену через пункты 1–4.</t>
  </si>
  <si>
    <t>Пункт 5 используй только в крайнем случае.</t>
  </si>
  <si>
    <t>4. ПРАВИЛА ПО ГЛАВНОМУ ГЕРОЮ</t>
  </si>
  <si>
    <t>Если в сцене есть главный герой, начинай описание с "ГГ".</t>
  </si>
  <si>
    <t>Для ГГ обязательно указывать:</t>
  </si>
  <si>
    <t>консистентность лица</t>
  </si>
  <si>
    <t>схожесть с референсом</t>
  </si>
  <si>
    <t>эмоцию</t>
  </si>
  <si>
    <t>позу или действие</t>
  </si>
  <si>
    <t>расписывать внешность главного героя, если она уже задана референсом</t>
  </si>
  <si>
    <t>менять его возраст</t>
  </si>
  <si>
    <t>менять его лицо</t>
  </si>
  <si>
    <t>менять его базовую идентичность</t>
  </si>
  <si>
    <t>делать в кадре несколько визуально конкурирующих главных героев, если сцена не требует этого</t>
  </si>
  <si>
    <t>Если сцена допускает второстепенных персонажей:</t>
  </si>
  <si>
    <t>добавляй их осмысленно</t>
  </si>
  <si>
    <t>они должны усиливать мир, масштаб и правдоподобие</t>
  </si>
  <si>
    <t>все второстепенные персонажи тоже антропоморфные коты</t>
  </si>
  <si>
    <t>прописывай их кратко: типаж, действие, поза, роль в кадре, одежда или аксессуар</t>
  </si>
  <si>
    <t>запрещено заменять второстепенных персонажей людьми даже в фоне</t>
  </si>
  <si>
    <t>4.1. ОСОБОЕ ПРАВИЛО ДЛЯ СТРОКИ 42</t>
  </si>
  <si>
    <t>Строка 42 обязательна всегда.</t>
  </si>
  <si>
    <t>В строке 42 нужно писать только одно из двух:</t>
  </si>
  <si>
    <t>возраст героя</t>
  </si>
  <si>
    <t>или</t>
  </si>
  <si>
    <t>героя нет</t>
  </si>
  <si>
    <t>Правила для строки 42:</t>
  </si>
  <si>
    <t>если в сцене есть главный герой и строка 42 относится именно к нему, обязательно укажи возраст героя</t>
  </si>
  <si>
    <t>если в строке 42 не идёт речи о герое, обязательно пиши: героя нет</t>
  </si>
  <si>
    <t>если в исходном тексте есть маркеры современности, в строке 42 всегда пиши: героя нет</t>
  </si>
  <si>
    <t>если в строке 42 написано героя нет, не указывай главного героя в этой строке и не пытайся подставить его косвенно</t>
  </si>
  <si>
    <t>Маркеры современности, при которых в строке 42 обязательно нужно писать "героя нет":</t>
  </si>
  <si>
    <t>в наше время</t>
  </si>
  <si>
    <t>и сегодня</t>
  </si>
  <si>
    <t>сегодня</t>
  </si>
  <si>
    <t>спустя несколько веков</t>
  </si>
  <si>
    <t>в наши дни</t>
  </si>
  <si>
    <t>в современном мире</t>
  </si>
  <si>
    <t>в XXI веке</t>
  </si>
  <si>
    <t>сейчас</t>
  </si>
  <si>
    <t>в текущую эпоху</t>
  </si>
  <si>
    <t>в эпоху технологий</t>
  </si>
  <si>
    <t>в цифровую эпоху</t>
  </si>
  <si>
    <t>в современной реальности</t>
  </si>
  <si>
    <t>на сегодняшний день</t>
  </si>
  <si>
    <t>в условиях современности</t>
  </si>
  <si>
    <t>5. ПРАВИЛА РАЗНООБРАЗИЯ СЦЕН</t>
  </si>
  <si>
    <t>Чтобы кадры не были однотипными, варьируй:</t>
  </si>
  <si>
    <t>масштаб: общий, средний, крупный, деталь</t>
  </si>
  <si>
    <t>точку зрения: фронтально, сбоку, сверху, снизу, через объект переднего плана, из толпы, из-за плеча</t>
  </si>
  <si>
    <t>среду: интерьер, улица, промышленная зона, природа, транспорт, общественное пространство, историческая архитектура, рабочее место, двор, рынок, вокзал, мастерская, крыша, порт, площадь, переулок, коридор, сцена ожидания, сцена движения</t>
  </si>
  <si>
    <t>динамику: движение, пауза, наблюдение, конфликт, следствие, ожидание, одиночество, взаимодействие</t>
  </si>
  <si>
    <t>время суток</t>
  </si>
  <si>
    <t>погодные условия</t>
  </si>
  <si>
    <t>глубину кадра</t>
  </si>
  <si>
    <t>Если текст не диктует место напрямую, подбирай нестандартное, но логичное окружение.</t>
  </si>
  <si>
    <t>5.1. ЖЁСТКОЕ ПРАВИЛО КОМПОЗИЦИИ</t>
  </si>
  <si>
    <t>Во всех сценах обязательно соблюдать правило третей и правило золотого сечения.</t>
  </si>
  <si>
    <t>Это не рекомендация, а обязательное требование.</t>
  </si>
  <si>
    <t>располагать главный смысловой центр кадра в точках силы по правилу третей или в узлах золотого сечения</t>
  </si>
  <si>
    <t>строить композицию так, чтобы взгляд зрителя сразу попадал на главный объект</t>
  </si>
  <si>
    <t>подчинять расположение героя, ключевого предмета, линии горизонта, архитектуры, толпы, источников света и крупных масс правилу третей или золотому сечению</t>
  </si>
  <si>
    <t>использовать передний, средний и задний план так, чтобы они усиливали композиционный баланс</t>
  </si>
  <si>
    <t>делать композицию направленной, читаемой и кинематографичной</t>
  </si>
  <si>
    <t>использовать диагонали, ведущие линии, просветы, рамки переднего плана и глубину кадра только в подчинении главному композиционному центру</t>
  </si>
  <si>
    <t>ставить главный объект случайно по центру, если это не оправдано сценой</t>
  </si>
  <si>
    <t>делать композицию плоской, хаотичной или визуально рассыпанной</t>
  </si>
  <si>
    <t>располагать важные объекты без учёта баланса масс</t>
  </si>
  <si>
    <t>игнорировать линии движения взгляда</t>
  </si>
  <si>
    <t>перегружать одну сторону кадра без композиционного противовеса</t>
  </si>
  <si>
    <t>делать кадр, в котором правило третей и золотого сечения не считываются</t>
  </si>
  <si>
    <t>Если сцена допускает выбор, всегда предпочитай композицию, в которой:</t>
  </si>
  <si>
    <t>главный герой или главный объект стоит на одной из сильных точек</t>
  </si>
  <si>
    <t>линия горизонта проходит по верхней или нижней трети</t>
  </si>
  <si>
    <t>второстепенные элементы уравновешивают кадр, не забирая главный акцент</t>
  </si>
  <si>
    <t>свет, архитектура, предметы и позы персонажей помогают вести взгляд к смысловому центру</t>
  </si>
  <si>
    <t>6. СТИЛЬ И ВИЗУАЛЬНЫЙ ЯЗЫК</t>
  </si>
  <si>
    <t>Базовый стиль:</t>
  </si>
  <si>
    <t>детализированный pixel art</t>
  </si>
  <si>
    <t>эпичная иллюстрация</t>
  </si>
  <si>
    <t>кинематографичная композиция</t>
  </si>
  <si>
    <t>выразительная атмосфера</t>
  </si>
  <si>
    <t>высокая детализация фактур</t>
  </si>
  <si>
    <t>чёткий фокус</t>
  </si>
  <si>
    <t>сочные, но контролируемые цвета</t>
  </si>
  <si>
    <t>Если сцена камерная, не делай её эпичной насильно.</t>
  </si>
  <si>
    <t>Если сцена напряжённая, усиливай композицию светом, позой, ритмом объектов.</t>
  </si>
  <si>
    <t>Если сцена историческая, следи, чтобы предметы, одежда, архитектура и окружение не выбивались из эпохи.</t>
  </si>
  <si>
    <t>7. СТРУКТУРА КАЖДОГО ПРОМТА</t>
  </si>
  <si>
    <t>Каждый промт должен быть собран в следующем порядке:</t>
  </si>
  <si>
    <t>1. Порядковый номер промта.</t>
  </si>
  <si>
    <t>2. Тип сцены: реалистичная, символическая или абстрактная.</t>
  </si>
  <si>
    <t>3. Сюжет: что конкретно происходит в кадре.</t>
  </si>
  <si>
    <t>4. План: общий, средний, крупный или деталь.</t>
  </si>
  <si>
    <t>5. Ракурс: с какой точки видна сцена.</t>
  </si>
  <si>
    <t>6. Главный фокус кадра.</t>
  </si>
  <si>
    <t>7. Персонажи:</t>
  </si>
  <si>
    <t>ГГ — антропоморфный кот, только консистентность лица, схожесть с референсом, эмоция, действие</t>
  </si>
  <si>
    <t>остальные — тоже только антропоморфные коты, внешность, одежда, поза, эмоция, аксессуар или отличительная черта</t>
  </si>
  <si>
    <t>8. Место действия.</t>
  </si>
  <si>
    <t>9. Время суток и освещение.</t>
  </si>
  <si>
    <t>10. Передний план.</t>
  </si>
  <si>
    <t>11. Средний план.</t>
  </si>
  <si>
    <t>12. Задний план.</t>
  </si>
  <si>
    <t>13. Цветовая палитра.</t>
  </si>
  <si>
    <t>14. Стиль и качество.</t>
  </si>
  <si>
    <t>15. Композиция: обязательно явно укажи, как в сцене соблюдены правило третей и/или золотое сечение.</t>
  </si>
  <si>
    <t>16. Ограничения через --no.</t>
  </si>
  <si>
    <t>Если твой рабочий формат подразумевает построчную разметку, строка 42 должна подчиняться правилам раздела 4.1 без исключений.</t>
  </si>
  <si>
    <t>8. ФОРМАТ ОПИСАНИЯ</t>
  </si>
  <si>
    <t>Пиши ОДИН готовый цельный промт, а не пояснения.</t>
  </si>
  <si>
    <t>Не пиши рассуждений.</t>
  </si>
  <si>
    <t>Не объясняй выбор.</t>
  </si>
  <si>
    <t>Не добавляй альтернатив.</t>
  </si>
  <si>
    <t>Не используй канцелярит.</t>
  </si>
  <si>
    <t>Не делай промт слишком общим.</t>
  </si>
  <si>
    <t>Промт должен:</t>
  </si>
  <si>
    <t>быть конкретным</t>
  </si>
  <si>
    <t>быть визуально представимым</t>
  </si>
  <si>
    <t>Ты — сильный сценарист и редактор текстов для голосовой озвучки. Пиши как профессиональный автор, который умеет держать цельное повествование, ритм речи и естественную интонацию живого рассказа.</t>
  </si>
  <si>
    <t>Твоя задача: на основе истории из листа «Общий план» создать цельный, последовательный, естественный текст для озвучки ролика. Текст должен звучать как непрерывный рассказ, а не как набор заготовок, фрагментов или отдельных блоков.</t>
  </si>
  <si>
    <t>КЛЮЧЕВОЙ ПРИНЦИП: Сначала создай цельный рассказ целиком, как единое повествование. Только после этого раздели его на ячейки. Разделение на ячейки — технический этап, оно не должно разрушать плавность, связность и ощущение единого рассказа.</t>
  </si>
  <si>
    <t>ИСХОДНЫЕ УСЛОВИЯ:</t>
  </si>
  <si>
    <t>1. История берется только из листа «Общий план».</t>
  </si>
  <si>
    <t>2. Общий объем текста: 10000–10500 символов с пробелами.</t>
  </si>
  <si>
    <t>3. Количество ячеек не ограничено.</t>
  </si>
  <si>
    <t>4. Каждая ячейка должна содержать 110–140 символов с пробелами.</t>
  </si>
  <si>
    <t>5. Каждая ячейка должна заканчиваться на естественной речевой паузе.</t>
  </si>
  <si>
    <t>6. По возможности ячейка должна завершаться целым предложением, но главнее сохранить естественность и цельность рассказа.</t>
  </si>
  <si>
    <t>7. Все соседние ячейки обязаны читаться слитно, без ощущения склейки или обрыва.</t>
  </si>
  <si>
    <t>8. Итоговый текст должен быть пригоден для живой дикторской озвучки без дополнительной переработки.</t>
  </si>
  <si>
    <t>9. Запись начинается строго с колонки C строки 40 листа «план».</t>
  </si>
  <si>
    <t>ПРАВИЛО ПЕРЕНОСА ПРЕДЛОЖЕНИЙ МЕЖДУ ЯЧЕЙКАМИ: Предложение может быть разрезано и перенесено в следующую ячейку — но только один раз подряд. То есть: если предложение начато в ячейке N и закончено в ячейке N+1 — следующая ячейка N+2 обязана начинаться с нового предложения. Запрещено переносить части одного предложения через три и более ячеек подряд. Запрещено строить несколько ячеек подряд так, чтобы каждая из них была продолжением предыдущей незаконченной фразы. Правило: перенос — только через одну границу, после чего обязательно завершение мысли.</t>
  </si>
  <si>
    <t>ГЛАВНЫЕ ТРЕБОВАНИЯ К ТЕКСТУ:</t>
  </si>
  <si>
    <t>текст должен звучать как цельный рассказ;</t>
  </si>
  <si>
    <t>повествование должно идти последовательно, без скачков и рваного монтажа;</t>
  </si>
  <si>
    <t>каждая мысль должна естественно вытекать из предыдущей;</t>
  </si>
  <si>
    <t>интонация должна быть живой, уверенной и человеческой;</t>
  </si>
  <si>
    <t>текст должен легко читаться вслух;</t>
  </si>
  <si>
    <t>нельзя писать сухо, рублено, схематично или канцелярски;</t>
  </si>
  <si>
    <t>нельзя превращать текст в набор "эффектных" обрывков;</t>
  </si>
  <si>
    <t>нельзя писать так, чтобы каждая ячейка ощущалась отдельным мини-абзацем.</t>
  </si>
  <si>
    <t>СТИЛЬ:</t>
  </si>
  <si>
    <t>естественный;</t>
  </si>
  <si>
    <t>плотный, но не тяжеловесный;</t>
  </si>
  <si>
    <t>литературный, но не вычурный;</t>
  </si>
  <si>
    <t>разговорно-повествовательный, но не просторечный;</t>
  </si>
  <si>
    <t>без пафоса, без картонной драматизации, без дешевой "интриги ради интриги";</t>
  </si>
  <si>
    <t>как у опытного автора документального, сюжетного или авторского ролика.</t>
  </si>
  <si>
    <t>ЧЕГО НЕЛЬЗЯ ДЕЛАТЬ:</t>
  </si>
  <si>
    <t>1. Не пиши "типичным ИИ-стилем".</t>
  </si>
  <si>
    <t>2. Не используй постоянные противопоставления через:</t>
  </si>
  <si>
    <t>«а»</t>
  </si>
  <si>
    <t>«но»</t>
  </si>
  <si>
    <t>«однако»</t>
  </si>
  <si>
    <t>«не..., а...»</t>
  </si>
  <si>
    <t>«не просто..., а...»</t>
  </si>
  <si>
    <t>«казалось..., но...»</t>
  </si>
  <si>
    <t>«сначала..., потом...» если без них можно построить фразу естественнее.</t>
  </si>
  <si>
    <t>3. Не строй текст на бесконечных контрастах, ложной драме и искусственных поворотах.</t>
  </si>
  <si>
    <t>4. Не делай рубленые короткие фразы ради "напряжения".</t>
  </si>
  <si>
    <t>5. Не делай каждую ячейку самостоятельным смысловым островком.</t>
  </si>
  <si>
    <t>6. Не используй заезженные формулы:</t>
  </si>
  <si>
    <t>«всё изменилось в один момент»</t>
  </si>
  <si>
    <t>«никто не мог представить»</t>
  </si>
  <si>
    <t>«казалось, что»</t>
  </si>
  <si>
    <t>«но реальность оказалась иной»</t>
  </si>
  <si>
    <t>«именно тогда»</t>
  </si>
  <si>
    <t>«это стало поворотной точкой»</t>
  </si>
  <si>
    <t>«история на этом не закончилась»</t>
  </si>
  <si>
    <t>«всё было не так просто» и другие типичные шаблоны ИИ-озвучки.</t>
  </si>
  <si>
    <t>7. Не повторяй одинаковые синтаксические конструкции в соседних ячейках.</t>
  </si>
  <si>
    <t>8. Не пиши "объясняющим" тоном, будто пересказываешь план.</t>
  </si>
  <si>
    <t>9. Не добавляй фактов, которых нет в исходной истории, кроме минимально необходимых связок для плавности.</t>
  </si>
  <si>
    <t>10. Не используй риторические вопросы, если они не оправданы тоном истории.</t>
  </si>
  <si>
    <t>11. Не начинай подряд несколько предложений одинаково.</t>
  </si>
  <si>
    <t>12. Не делай текст нарезанным, клиповым, телеграфным или схематичным.</t>
  </si>
  <si>
    <t>13. Не используй тире как инструмент уточнения или пояснения внутри фразы там, где это создаёт канцелярский или журналистский привкус. Примеры запрещённых конструкций: «поддерживал с ней отношения — и эта связь сама по себе говорит о весе её слова», «это была одна задача», «а не уход от мира в мечтания». Такие вставки режут ритм и звучат как редакторские пометки, а не живая речь.</t>
  </si>
  <si>
    <t>14. Не строй фразы по схеме «X легко воспринять как Y — но на самом деле Z». Это типичная ИИ-конструкция противопоставления через уточнение. Вместо этого просто опиши X так, как он есть, без предварительного ложного допущения.</t>
  </si>
  <si>
    <t>15. Не используй конструкцию «тот, кто... — тот...» или «тот, кто учился X, учился заодно и Y». Это схематичная структура, которая звучит как тезис, а не рассказ.</t>
  </si>
  <si>
    <t>КАК ИМЕННО НУЖНО РАБОТАТЬ: Этап 1. Изучи историю из листа «Общий план» и пойми её внутреннюю логику. Этап 2. Выстрой скрытый каркас повествования: завязка, развитие, ключевые события, развязка. Этап 3. Напиши цельный текст как непрерывный рассказ, вообще не думая пока о ячейках. Этап 4. Отредактируй текст так, чтобы он звучал как написанный человеком: плавно, уверенно, без шаблонов и без "GPT-интонации". Этап 5. Только после полной литературной сборки раздели текст на ячейки по 110–140 символов. Этап 6. При делении не ломай ритм, синтаксис и естественное течение рассказа. Этап 7. Проверь правило переноса: ни одно предложение не должно быть разбито более чем на две ячейки подряд. Этап 8. Проверь итог целиком вслух мысленно: он должен звучать как единое аудиоповествование.</t>
  </si>
  <si>
    <t>ПРАВИЛА ЕСТЕСТВЕННОЙ ОЗВУЧКИ:</t>
  </si>
  <si>
    <t>каждая фраза должна быть удобна для произнесения;</t>
  </si>
  <si>
    <t>переходы должны быть мягкими;</t>
  </si>
  <si>
    <t>текст должен "течь", а не дергаться;</t>
  </si>
  <si>
    <t>в соседних ячейках должна чувствоваться инерция одной и той же мысли;</t>
  </si>
  <si>
    <t>допускается спокойная смена темпа, но без резких провалов;</t>
  </si>
  <si>
    <t>если фраза выглядит написанной нейросетью, перепиши её;</t>
  </si>
  <si>
    <t>если кусок звучит как набор тезисов, перепиши его в живой рассказ;</t>
  </si>
  <si>
    <t>если между ячейками чувствуется шов, перепиши обе ячейки.</t>
  </si>
  <si>
    <t>ОБЯЗАТЕЛЬНАЯ ВНУТРЕННЯЯ САМООЦЕНКА ПЕРЕД ВЫДАЧЕЙ: Проверь текст по каждому пункту. Если хотя бы один пункт не выполнен, перепиши проблемные места до полного соответствия.</t>
  </si>
  <si>
    <t>ЧЕК-ЛИСТ КАЧЕСТВА: [ ] История взята только из листа «Общий план». [ ] Текст ощущается как единый рассказ, а не как набор кусочков. [ ] Повествование последовательное и связное от начала до конца. [ ] Между соседними ячейками нет ощущения склейки, провала или искусственного перехода. [ ] Каждая ячейка содержит 110–140 символов с пробелами. [ ] Общий объем текста 10000–10500 символов с пробелами. [ ] Текст легко читается вслух. [ ] В тексте нет штампов, канцелярита и типичных ИИ-оборотов. [ ] Нет навязчивых противопоставлений через «а», «но», «однако». [ ] Нет эффекта "обрывков" или "отдельных заготовок". [ ] Нет монотонных повторов синтаксиса. [ ] Нет фраз, которые выглядят как машинная стилизация под драму. [ ] Ни одно предложение не разбито более чем на две ячейки подряд. [ ] Нет тире-уточнений и схематичных конструкций с противопоставлением через пояснение. [ ] Итог можно сразу отдавать диктору.</t>
  </si>
  <si>
    <t>ДОПОЛНИТЕЛЬНЫЙ ФИЛЬТР ПРОТИВ GPT-СТИЛЯ: Перед финальной выдачей отдельно проверь:</t>
  </si>
  <si>
    <t>нет ли слишком частого союза «а» в роли противопоставления;</t>
  </si>
  <si>
    <t>нет ли в соседних предложениях одинаковой структуры;</t>
  </si>
  <si>
    <t>нет ли дешевых драматических связок;</t>
  </si>
  <si>
    <t>нет ли ощущения, что текст "собран из карточек";</t>
  </si>
  <si>
    <t>нет ли мест, где ячейка закончилась только потому, что нужно уложиться в лимит, а не потому что это естественная пауза;</t>
  </si>
  <si>
    <t>нет ли фраз, которые хочется переписать в более спокойную, взрослую и точную форму;</t>
  </si>
  <si>
    <t>нет ли конструкций «X — это Y» в роли определения посреди рассказа: они останавливают повествование и звучат как словарная статья;</t>
  </si>
  <si>
    <t>нет ли тире, которое вставлено для уточнения или пояснения там, где живая речь обошлась бы без него.</t>
  </si>
  <si>
    <t>Если находишь такие места — переписывай до тех пор, пока текст не начнёт звучать как цельный, взрослый, профессионально написанный рассказ.</t>
  </si>
  <si>
    <t>ФОРМАТ ВЫДАЧИ:</t>
  </si>
  <si>
    <t>выводи только готовый текст;</t>
  </si>
  <si>
    <t>одна ячейка = одна строка;</t>
  </si>
  <si>
    <t>никаких пояснений, комментариев, подзаголовков и анализа;</t>
  </si>
  <si>
    <t>в конце отдельной строкой напиши: ИТОГО: [количество ячеек] ячеек, [общее количество символов] символов.</t>
  </si>
  <si>
    <t>1) Правила работы с Excel</t>
  </si>
  <si>
    <t>Открой файл Excel.</t>
  </si>
  <si>
    <t>все промты пишутся на русском языке</t>
  </si>
  <si>
    <t>Прочитай:</t>
  </si>
  <si>
    <t>План №1 промт для текста</t>
  </si>
  <si>
    <t>1. Необходимо зайти в лист "Промт текста" и прочитать текстовое задание и пояснение к составлению текста озвучки. План нужно соблюдать точно, учитывай все что там написано</t>
  </si>
  <si>
    <t>2. Перейди в лист общий план, там прочитай план ролика ориентируйся при написании текста на него</t>
  </si>
  <si>
    <t>3. Перейди в лист "План" и запиши промт по плану который ты узнал в листе "Промт текста" исходя из основной идеи которая записана в листе "общий план" а так же сохраняя структуру и последовательность, запиши текст как рассказчик последовательно соблюдая хронологию и вписывая основные даты в лист "план" строки 40 начиная с столбца С, каждый промт запиши отдельно последовательно строку  40 двигаясь направо. При записи промтов учитывай что смысловые схожие части которые были до должны быть в одном контексте, однако если ячейки сильно отличаются по смыслу, то они могут быть сильно разными</t>
  </si>
  <si>
    <t>План №2 промт иллюстраций</t>
  </si>
  <si>
    <t>1. Необходимо зайти в лист "Промт фото" и прочитать текстовое задание и пояснение к составлению промта для nano banana pro. План нужно соблюдать точно, учитывай все что там написано</t>
  </si>
  <si>
    <t>2. Перейди в лист "План" и запиши промт по плану который ты узнал в листе "Промт фото" исходя из основной идеи которая записана в строке 40 стобца начиная с B каждый промт запиши отдельно в тот же столбец строку  38. При записи промтов учитывай что смысловые схожие части которые были до должны быть в одном контексте, однако если ячейки сильно отличаются по смыслу, то они могут быть сильно разными</t>
  </si>
  <si>
    <t>3. Общая тема всего видео "</t>
  </si>
  <si>
    <t>4. При написании промтов ты обязан следовать и описывать все что записано в "промт фото" и записывать обьемный промт со всем что там указано</t>
  </si>
  <si>
    <t>На основе присланного мной материала создай универсальный, логически выстроенный план для сценария видео. План должен быть не просто списком фактов или тем, а последовательностью смысловых блоков, которые раскрывают главную мысль материала в понятном и драматургически сильном порядке. Нельзя делать план узко привязанным только к одному типу истории: он должен работать с любым материалом — биографией, исторической темой, научной темой, культурным разбором, образовательным сюжетом, общественной проблемой, документальным видео, лекцией или аналитическим роликом.</t>
  </si>
  <si>
    <t>Главный принцип: строй план не по принципу «что есть в материале», а по принципу «в каком порядке нужно раскрыть материал, чтобы зритель понял тему, удерживал внимание и пришёл к сильному выводу». План должен быть маршрутом мысли, а не механическим пересказом исходника.</t>
  </si>
  <si>
    <t>Обязательно соблюдай следующие правила:</t>
  </si>
  <si>
    <t>1. Сначала выдели главную тему материала и сформулируй его центральную мысль в 1–3 предложениях.</t>
  </si>
  <si>
    <t>2. Затем определи, в чём смысл этого материала для зрителя: что именно он должен понять, почувствовать или вынести после просмотра.</t>
  </si>
  <si>
    <t>3. После этого раздели материал на крупные смысловые блоки. Каждый блок должен быть отдельным этапом раскрытия темы, а не случайным набором фактов.</t>
  </si>
  <si>
    <t>4. Для каждого блока обязательно указывай:</t>
  </si>
  <si>
    <t xml:space="preserve">   - название блока;</t>
  </si>
  <si>
    <t xml:space="preserve">   - его основную мысль;</t>
  </si>
  <si>
    <t xml:space="preserve">   - какие подтемы или элементы в него входят;</t>
  </si>
  <si>
    <t xml:space="preserve">   - зачем этот блок нужен в общей логике видео;</t>
  </si>
  <si>
    <t xml:space="preserve">   - как он подводит к следующему блоку.</t>
  </si>
  <si>
    <t>5. Блоки должны идти в логичном порядке. Порядок должен строиться по смыслу, а не по хаотичному перечислению. Используй ту последовательность, которая лучше всего раскрывает тему: от общего к частному, от проблемы к решению, от истоков к последствиям, от вопроса к ответу, от контекста к главному выводу.</t>
  </si>
  <si>
    <t>6. Каждый следующий блок должен логически вытекать из предыдущего. Не допускай повторов, смысловых провалов и дублирования одних и тех же мыслей.</t>
  </si>
  <si>
    <t>7. Финальный блок обязан подводить итог и собирать весь материал в общий вывод. План не должен заканчиваться последним фактом — он должен завершаться смыслом.</t>
  </si>
  <si>
    <t>8. Если в материале есть конфликт, перелом, противоречие, неожиданное открытие, смена масштаба, личная цена, практическое значение, общественная реакция или сильный вывод, обязательно используй это как опорные драматургические узлы.</t>
  </si>
  <si>
    <t>9. Если материал не биографический, не притягивай искусственно «жизненный путь героя» — адаптируй структуру под саму тему. Если материал биографический, исторический или документальный, допускается драматургическая логика пути, испытаний, переломов и наследия.</t>
  </si>
  <si>
    <t>10. Не выдумывай факты и не добавляй лишние сведения от себя. Опирайся только на присланный материал и строй структуру из него.</t>
  </si>
  <si>
    <t>Теперь обязательные технические требования:</t>
  </si>
  <si>
    <t>1. План должен быть рассчитан под видео длительностью ровно 12 минут.</t>
  </si>
  <si>
    <t>2. Обязательно проставь таймкоды для каждого блока.</t>
  </si>
  <si>
    <t>3. Таймкоды должны идти от 0:00 до 12:00 без пропусков и без наложений.</t>
  </si>
  <si>
    <t>4. У каждого блока укажи примерный объём текста в знаках.</t>
  </si>
  <si>
    <t>5. Общий объём текста на весь ролик должен составлять от 9500 до 10500 знаков.</t>
  </si>
  <si>
    <t>6. Распредели объём между блоками соразмерно их значимости: ключевые блоки могут быть длиннее, переходные — короче.</t>
  </si>
  <si>
    <t>7. Следи, чтобы суммарный объём всех блоков укладывался в диапазон 9500–10500 знаков.</t>
  </si>
  <si>
    <t>8. Следи, чтобы суммарный тайминг всех блоков точно составлял 12:00.</t>
  </si>
  <si>
    <t>Структура ответа должна быть такой:</t>
  </si>
  <si>
    <t>1. Главная тема</t>
  </si>
  <si>
    <t>2. Главная мысль</t>
  </si>
  <si>
    <t>3. Смысл для зрителя</t>
  </si>
  <si>
    <t>4. Основные смысловые блоки</t>
  </si>
  <si>
    <t xml:space="preserve">   Для каждого блока:</t>
  </si>
  <si>
    <t xml:space="preserve">   - название;</t>
  </si>
  <si>
    <t xml:space="preserve">   - подтемы;</t>
  </si>
  <si>
    <t xml:space="preserve">   - функция блока;</t>
  </si>
  <si>
    <t xml:space="preserve">   - логическая роль в общей структуре</t>
  </si>
  <si>
    <t>5. Поэпизодный план на 12 минут</t>
  </si>
  <si>
    <t xml:space="preserve">   Для каждого эпизода:</t>
  </si>
  <si>
    <t xml:space="preserve">   - номер;</t>
  </si>
  <si>
    <t xml:space="preserve">   - таймкод;</t>
  </si>
  <si>
    <t xml:space="preserve">   - примерный объём в знаках;</t>
  </si>
  <si>
    <t xml:space="preserve">   - что именно должно быть раскрыто в этом фрагменте</t>
  </si>
  <si>
    <t>6. Краткий итог:</t>
  </si>
  <si>
    <t xml:space="preserve">   - почему именно такая структура лучше всего раскрывает исходный материал</t>
  </si>
  <si>
    <t>Требования к качеству:</t>
  </si>
  <si>
    <t>- план должен быть ясным, строгим и пригодным для дальнейшего написания полного сценария;</t>
  </si>
  <si>
    <t>- он должен помогать писать текст, а не мешать;</t>
  </si>
  <si>
    <t>- названия блоков должны быть содержательными;</t>
  </si>
  <si>
    <t>- каждый пункт должен быть самостоятельным смысловым шагом;</t>
  </si>
  <si>
    <t>- структура должна удерживать внимание зрителя на протяжении всех 12 минут;</t>
  </si>
  <si>
    <t>- финал должен давать сильное обобщение или вывод;</t>
  </si>
  <si>
    <t>- стиль изложения должен быть профессиональным, без воды и без шаблонной банальности.</t>
  </si>
  <si>
    <t>Исходный материал для анализа:</t>
  </si>
  <si>
    <t>[вставь сюда текст / тему / исходные заметки / статью / биографию / тезисы]</t>
  </si>
  <si>
    <t>1.</t>
  </si>
  <si>
    <t>Что агент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</si>
  <si>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</si>
  <si>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</si>
  <si>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</si>
  <si>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</si>
  <si>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</si>
  <si>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</si>
  <si>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</si>
  <si>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</si>
  <si>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</si>
  <si>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Тип кадра</t>
  </si>
  <si>
    <t>Статус продолжения</t>
  </si>
  <si>
    <t>Основа изображения</t>
  </si>
  <si>
    <t>Режим персонажа</t>
  </si>
  <si>
    <t>Тип референса</t>
  </si>
  <si>
    <t>Переход</t>
  </si>
  <si>
    <t>Статус</t>
  </si>
  <si>
    <t>новый основной кадр</t>
  </si>
  <si>
    <t>не продолжение</t>
  </si>
  <si>
    <t>фон + персонаж</t>
  </si>
  <si>
    <t>новый фон</t>
  </si>
  <si>
    <t>без персонажа</t>
  </si>
  <si>
    <t>итоговый референс кадра</t>
  </si>
  <si>
    <t>резкая склейка</t>
  </si>
  <si>
    <t>черновик</t>
  </si>
  <si>
    <t>прямое продолжение</t>
  </si>
  <si>
    <t>прямое продолжение прошлого кадра</t>
  </si>
  <si>
    <t>готовый референс</t>
  </si>
  <si>
    <t>продолжение фона</t>
  </si>
  <si>
    <t>новый персонаж</t>
  </si>
  <si>
    <t>референс фона</t>
  </si>
  <si>
    <t>плавный переход</t>
  </si>
  <si>
    <t>готово к фото-референсу</t>
  </si>
  <si>
    <t>промежуточный кадр</t>
  </si>
  <si>
    <t>на основе исходного референса</t>
  </si>
  <si>
    <t>прошлый кадр</t>
  </si>
  <si>
    <t>фон на основе референса</t>
  </si>
  <si>
    <t>тот же персонаж</t>
  </si>
  <si>
    <t>референс персонажа</t>
  </si>
  <si>
    <t>match cut</t>
  </si>
  <si>
    <t>фото утверждено</t>
  </si>
  <si>
    <t>резкий переход</t>
  </si>
  <si>
    <t>на основе фона</t>
  </si>
  <si>
    <t>только фон</t>
  </si>
  <si>
    <t>предметная сцена</t>
  </si>
  <si>
    <t>тот же персонаж с изменением позы</t>
  </si>
  <si>
    <t>промежуточный референс</t>
  </si>
  <si>
    <t>через движение</t>
  </si>
  <si>
    <t>готово к видео</t>
  </si>
  <si>
    <t>cutaway / вставка</t>
  </si>
  <si>
    <t>на основе персонажа</t>
  </si>
  <si>
    <t>только персонаж</t>
  </si>
  <si>
    <t>интерьер</t>
  </si>
  <si>
    <t>тот же персонаж с изменением эмоции</t>
  </si>
  <si>
    <t>референс перехода</t>
  </si>
  <si>
    <t>через предмет</t>
  </si>
  <si>
    <t>нужна правка</t>
  </si>
  <si>
    <t>финальный кадр сцены</t>
  </si>
  <si>
    <t>новая сцена</t>
  </si>
  <si>
    <t>фон + предмет, без персонажа</t>
  </si>
  <si>
    <t>экстерьер</t>
  </si>
  <si>
    <t>другой персонаж</t>
  </si>
  <si>
    <t>через свет</t>
  </si>
  <si>
    <t>заблокировано</t>
  </si>
  <si>
    <t>из темноты</t>
  </si>
  <si>
    <t>в темноту</t>
  </si>
  <si>
    <t>без перехода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</si>
</sst>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rgb="FF000000"/>
      <name val="Calibri"/>
    </font>
    <font>
      <sz val="10"/>
      <color theme="1"/>
      <name val="Arial"/>
    </font>
    <font>
      <sz val="10"/>
      <color rgb="FF000000"/>
      <name val="Calibri"/>
    </font>
    <font>
      <sz val="11"/>
      <color rgb="FF3F435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Calibri"/>
    </font>
    <font>
      <b/>
      <sz val="13"/>
      <color rgb="FF000000"/>
      <name val="Arial"/>
    </font>
    <font>
      <b/>
      <sz val="18"/>
      <color rgb="FF000000"/>
      <name val="Arial"/>
    </font>
    <font>
      <b/>
      <sz val="13"/>
      <color rgb="FFFFFFFF"/>
      <name val="Arial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FFFFFF"/>
      <name val="Arial"/>
    </font>
    <font>
      <sz val="9"/>
      <color theme="1"/>
      <name val="Arial"/>
    </font>
    <font>
      <sz val="9"/>
      <color rgb="FF000000"/>
      <name val="Arial"/>
    </font>
    <font>
      <b/>
      <sz val="18"/>
      <color rgb="FF000000"/>
      <name val="Calibri"/>
    </font>
    <font>
      <sz val="11"/>
      <color theme="1"/>
      <name val="Arial"/>
    </font>
    <font>
      <b/>
      <sz val="14"/>
      <color theme="1"/>
      <name val="Arial"/>
    </font>
    <font>
      <b/>
      <sz val="11"/>
      <color rgb="FF1F2937"/>
      <name val="Calibri"/>
    </font>
    <font>
      <sz val="10"/>
      <color rgb="FF111827"/>
      <name val="Calibri"/>
    </font>
    <font>
      <b/>
      <sz val="10"/>
      <color rgb="FF111827"/>
      <name val="Calibri"/>
    </font>
    <font>
      <b/>
      <sz val="14"/>
      <color rgb="FF000000"/>
      <name val="Calibri"/>
    </font>
    <font>
      <b/>
      <sz val="10"/>
      <color rgb="FF00000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BDD7EE"/>
      </patternFill>
    </fill>
    <fill>
      <patternFill patternType="solid">
        <fgColor rgb="FFDEEAF1"/>
      </patternFill>
    </fill>
    <fill>
      <patternFill patternType="solid">
        <fgColor rgb="FFEAF2FF"/>
      </patternFill>
    </fill>
    <fill>
      <patternFill patternType="solid">
        <fgColor rgb="FFEDF7ED"/>
      </patternFill>
    </fill>
    <fill>
      <patternFill patternType="solid">
        <fgColor rgb="FFFFF4E5"/>
      </patternFill>
    </fill>
    <fill>
      <patternFill patternType="solid">
        <fgColor rgb="FFF3EDFF"/>
      </patternFill>
    </fill>
    <fill>
      <patternFill patternType="solid">
        <fgColor rgb="FFEFFFFA"/>
      </patternFill>
    </fill>
    <fill>
      <patternFill patternType="solid">
        <fgColor rgb="FFEEF2F6"/>
      </patternFill>
    </fill>
    <fill>
      <patternFill patternType="solid">
        <fgColor rgb="FFFFF0F6"/>
      </patternFill>
    </fill>
    <fill>
      <patternFill patternType="solid">
        <fgColor rgb="FFF8F9FA"/>
      </patternFill>
    </fill>
    <fill>
      <patternFill patternType="solid">
        <fgColor rgb="FFFFEFEF"/>
      </patternFill>
    </fill>
    <fill>
      <patternFill patternType="solid">
        <fgColor rgb="FFF8FAFC"/>
      </patternFill>
    </fill>
    <fill>
      <patternFill patternType="solid">
        <fgColor rgb="FFFFFDF7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CBD5E1"/>
      </bottom>
      <diagonal/>
    </border>
  </borders>
  <cellStyleXfs count="2">
    <xf numFmtId="0" fontId="0" fillId="0" borderId="0"/>
    <xf numFmtId="0" fontId="2" fillId="0" borderId="0"/>
  </cellStyleXfs>
  <cellXfs count="81">
    <xf numFmtId="0" fontId="0" fillId="0" borderId="0" xfId="0" applyAlignment="1"/>
    <xf numFmtId="0" fontId="1" fillId="0" borderId="0" xfId="1" applyFont="1"/>
    <xf numFmtId="0" fontId="2" fillId="0" borderId="0" xfId="1" applyFont="1"/>
    <xf numFmtId="0" fontId="3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0" fontId="6" fillId="0" borderId="0" xfId="1" applyFont="1"/>
    <xf numFmtId="0" fontId="7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0" fillId="3" borderId="0" xfId="1" applyFont="1" applyFill="1" applyAlignment="1">
      <alignment horizontal="left" vertical="top" wrapText="1"/>
    </xf>
    <xf numFmtId="0" fontId="11" fillId="0" borderId="0" xfId="1" applyFont="1" applyAlignment="1">
      <alignment horizontal="left" vertical="top" wrapText="1"/>
    </xf>
    <xf numFmtId="0" fontId="10" fillId="4" borderId="0" xfId="1" applyFont="1" applyFill="1" applyAlignment="1">
      <alignment horizontal="center" vertical="top" wrapText="1"/>
    </xf>
    <xf numFmtId="0" fontId="10" fillId="5" borderId="0" xfId="1" applyFont="1" applyFill="1" applyAlignment="1">
      <alignment horizontal="left" vertical="top" wrapText="1"/>
    </xf>
    <xf numFmtId="0" fontId="11" fillId="5" borderId="0" xfId="1" applyFont="1" applyFill="1" applyAlignment="1">
      <alignment horizontal="left" vertical="top" wrapText="1"/>
    </xf>
    <xf numFmtId="0" fontId="10" fillId="0" borderId="0" xfId="1" applyFont="1" applyAlignment="1">
      <alignment horizontal="left" vertical="top" wrapText="1"/>
    </xf>
    <xf numFmtId="0" fontId="11" fillId="5" borderId="0" xfId="1" applyFont="1" applyFill="1" applyAlignment="1">
      <alignment horizontal="center" vertical="top" wrapText="1"/>
    </xf>
    <xf numFmtId="0" fontId="11" fillId="0" borderId="0" xfId="1" applyFont="1" applyAlignment="1">
      <alignment horizontal="center" vertical="top" wrapText="1"/>
    </xf>
    <xf numFmtId="0" fontId="13" fillId="0" borderId="0" xfId="1" applyFont="1"/>
    <xf numFmtId="0" fontId="5" fillId="0" borderId="0" xfId="1" applyFont="1"/>
    <xf numFmtId="0" fontId="13" fillId="0" borderId="1" xfId="1" applyFont="1" applyBorder="1"/>
    <xf numFmtId="0" fontId="13" fillId="0" borderId="4" xfId="1" applyFont="1" applyBorder="1"/>
    <xf numFmtId="0" fontId="1" fillId="0" borderId="0" xfId="1" applyFont="1" applyAlignment="1">
      <alignment vertical="center"/>
    </xf>
    <xf numFmtId="0" fontId="14" fillId="0" borderId="0" xfId="1" applyFont="1"/>
    <xf numFmtId="0" fontId="2" fillId="0" borderId="0" xfId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1" applyFont="1"/>
    <xf numFmtId="0" fontId="0" fillId="0" borderId="0" xfId="1" applyFont="1"/>
    <xf numFmtId="0" fontId="0" fillId="0" borderId="0" xfId="1" applyFont="1"/>
    <xf numFmtId="0" fontId="0" fillId="0" borderId="0" xfId="0" applyNumberFormat="1" applyFont="1" applyFill="1" applyBorder="1" applyAlignment="1">
      <alignment horizontal="left" vertical="top" wrapText="1"/>
    </xf>
    <xf numFmtId="0" fontId="18" fillId="6" borderId="6" xfId="0" applyNumberFormat="1" applyFont="1" applyFill="1" applyBorder="1" applyAlignment="1">
      <alignment horizontal="center" vertical="center" wrapText="1"/>
    </xf>
    <xf numFmtId="0" fontId="18" fillId="6" borderId="7" xfId="0" applyNumberFormat="1" applyFont="1" applyFill="1" applyBorder="1" applyAlignment="1">
      <alignment vertical="center" wrapText="1"/>
    </xf>
    <xf numFmtId="0" fontId="18" fillId="6" borderId="8" xfId="0" applyNumberFormat="1" applyFont="1" applyFill="1" applyBorder="1" applyAlignment="1">
      <alignment vertical="center" wrapText="1"/>
    </xf>
    <xf numFmtId="0" fontId="19" fillId="15" borderId="9" xfId="0" applyNumberFormat="1" applyFont="1" applyFill="1" applyBorder="1" applyAlignment="1">
      <alignment horizontal="center" vertical="top" wrapText="1"/>
    </xf>
    <xf numFmtId="0" fontId="19" fillId="15" borderId="9" xfId="0" applyNumberFormat="1" applyFont="1" applyFill="1" applyBorder="1" applyAlignment="1">
      <alignment vertical="top" wrapText="1"/>
    </xf>
    <xf numFmtId="0" fontId="20" fillId="15" borderId="9" xfId="0" applyNumberFormat="1" applyFont="1" applyFill="1" applyBorder="1" applyAlignment="1">
      <alignment vertical="top" wrapText="1"/>
    </xf>
    <xf numFmtId="0" fontId="19" fillId="0" borderId="9" xfId="0" applyNumberFormat="1" applyFont="1" applyFill="1" applyBorder="1" applyAlignment="1">
      <alignment vertical="top" wrapText="1"/>
    </xf>
    <xf numFmtId="0" fontId="20" fillId="7" borderId="9" xfId="0" applyNumberFormat="1" applyFont="1" applyFill="1" applyBorder="1" applyAlignment="1">
      <alignment vertical="top" wrapText="1"/>
    </xf>
    <xf numFmtId="0" fontId="20" fillId="8" borderId="9" xfId="0" applyNumberFormat="1" applyFont="1" applyFill="1" applyBorder="1" applyAlignment="1">
      <alignment vertical="top" wrapText="1"/>
    </xf>
    <xf numFmtId="0" fontId="20" fillId="9" borderId="9" xfId="0" applyNumberFormat="1" applyFont="1" applyFill="1" applyBorder="1" applyAlignment="1">
      <alignment vertical="top" wrapText="1"/>
    </xf>
    <xf numFmtId="0" fontId="20" fillId="10" borderId="9" xfId="0" applyNumberFormat="1" applyFont="1" applyFill="1" applyBorder="1" applyAlignment="1">
      <alignment vertical="top" wrapText="1"/>
    </xf>
    <xf numFmtId="0" fontId="20" fillId="11" borderId="9" xfId="0" applyNumberFormat="1" applyFont="1" applyFill="1" applyBorder="1" applyAlignment="1">
      <alignment vertical="top" wrapText="1"/>
    </xf>
    <xf numFmtId="0" fontId="20" fillId="12" borderId="9" xfId="0" applyNumberFormat="1" applyFont="1" applyFill="1" applyBorder="1" applyAlignment="1">
      <alignment vertical="top" wrapText="1"/>
    </xf>
    <xf numFmtId="0" fontId="20" fillId="13" borderId="9" xfId="0" applyNumberFormat="1" applyFont="1" applyFill="1" applyBorder="1" applyAlignment="1">
      <alignment vertical="top" wrapText="1"/>
    </xf>
    <xf numFmtId="0" fontId="20" fillId="14" borderId="9" xfId="0" applyNumberFormat="1" applyFont="1" applyFill="1" applyBorder="1" applyAlignment="1">
      <alignment vertical="top" wrapText="1"/>
    </xf>
    <xf numFmtId="0" fontId="19" fillId="16" borderId="9" xfId="0" applyNumberFormat="1" applyFont="1" applyFill="1" applyBorder="1" applyAlignment="1">
      <alignment vertical="top" wrapText="1"/>
    </xf>
    <xf numFmtId="0" fontId="20" fillId="16" borderId="9" xfId="0" applyNumberFormat="1" applyFont="1" applyFill="1" applyBorder="1" applyAlignment="1">
      <alignment vertical="top" wrapText="1"/>
    </xf>
    <xf numFmtId="0" fontId="21" fillId="6" borderId="0" xfId="0" applyNumberFormat="1" applyFont="1" applyFill="1" applyBorder="1" applyAlignment="1">
      <alignment wrapText="1"/>
    </xf>
    <xf numFmtId="0" fontId="0" fillId="0" borderId="9" xfId="0" applyNumberFormat="1" applyFont="1" applyFill="1" applyBorder="1" applyAlignment="1">
      <alignment wrapText="1"/>
    </xf>
    <xf numFmtId="0" fontId="0" fillId="0" borderId="9" xfId="0" applyNumberFormat="1" applyFont="1" applyFill="1" applyBorder="1" applyAlignment="1">
      <alignment vertical="top" wrapText="1"/>
    </xf>
    <xf numFmtId="0" fontId="22" fillId="9" borderId="0" xfId="0" applyNumberFormat="1" applyFont="1" applyFill="1" applyBorder="1" applyAlignment="1">
      <alignment wrapText="1"/>
    </xf>
    <xf numFmtId="0" fontId="0" fillId="0" borderId="0" xfId="1" applyFont="1"/>
    <xf numFmtId="0" fontId="13" fillId="0" borderId="0" xfId="1" applyFont="1"/>
    <xf numFmtId="0" fontId="0" fillId="0" borderId="0" xfId="0" applyNumberFormat="1" applyFont="1" applyFill="1" applyBorder="1" applyAlignment="1">
      <alignment vertical="top" wrapText="1"/>
    </xf>
    <xf numFmtId="0" fontId="2" fillId="0" borderId="0" xfId="0" applyFont="1" applyAlignment="1"/>
    <xf numFmtId="0" fontId="0" fillId="0" borderId="10" xfId="0" applyBorder="1" applyAlignment="1"/>
    <xf numFmtId="0" fontId="0" fillId="0" borderId="11" xfId="0" applyBorder="1" applyAlignment="1"/>
    <xf numFmtId="0" fontId="2" fillId="0" borderId="11" xfId="0" applyFont="1" applyBorder="1" applyAlignment="1"/>
    <xf numFmtId="0" fontId="0" fillId="0" borderId="0" xfId="0" applyNumberFormat="1" applyFont="1" applyFill="1" applyBorder="1" applyAlignment="1">
      <alignment wrapText="1"/>
    </xf>
    <xf numFmtId="0" fontId="0" fillId="0" borderId="0" xfId="1" applyFont="1"/>
    <xf numFmtId="0" fontId="1" fillId="0" borderId="0" xfId="1" applyFont="1" applyAlignment="1">
      <alignment horizontal="center" vertical="top" wrapText="1"/>
    </xf>
    <xf numFmtId="0" fontId="0" fillId="0" borderId="0" xfId="1" applyFont="1" applyAlignment="1"/>
    <xf numFmtId="0" fontId="13" fillId="0" borderId="0" xfId="1" applyFont="1" applyAlignment="1"/>
    <xf numFmtId="0" fontId="18" fillId="6" borderId="7" xfId="0" applyNumberFormat="1" applyFont="1" applyFill="1" applyBorder="1" applyAlignment="1">
      <alignment horizontal="left" vertical="top" wrapText="1"/>
    </xf>
    <xf numFmtId="0" fontId="19" fillId="0" borderId="9" xfId="0" applyNumberFormat="1" applyFont="1" applyFill="1" applyBorder="1" applyAlignment="1">
      <alignment horizontal="left" vertical="top" wrapText="1"/>
    </xf>
    <xf numFmtId="0" fontId="1" fillId="0" borderId="0" xfId="0" applyNumberFormat="1" applyFont="1" applyFill="1" applyBorder="1" applyAlignment="1">
      <alignment wrapText="1"/>
    </xf>
    <xf numFmtId="0" fontId="5" fillId="0" borderId="0" xfId="0" applyNumberFormat="1" applyFont="1" applyFill="1" applyBorder="1" applyAlignment="1">
      <alignment wrapText="1"/>
    </xf>
    <xf numFmtId="0" fontId="1" fillId="0" borderId="1" xfId="0" applyNumberFormat="1" applyFont="1" applyFill="1" applyBorder="1" applyAlignment="1">
      <alignment wrapText="1"/>
    </xf>
    <xf numFmtId="0" fontId="1" fillId="0" borderId="2" xfId="0" applyNumberFormat="1" applyFont="1" applyFill="1" applyBorder="1" applyAlignment="1">
      <alignment wrapText="1"/>
    </xf>
    <xf numFmtId="0" fontId="1" fillId="0" borderId="3" xfId="0" applyNumberFormat="1" applyFont="1" applyFill="1" applyBorder="1" applyAlignment="1">
      <alignment wrapText="1"/>
    </xf>
    <xf numFmtId="0" fontId="1" fillId="0" borderId="4" xfId="0" applyNumberFormat="1" applyFont="1" applyFill="1" applyBorder="1" applyAlignment="1">
      <alignment wrapText="1"/>
    </xf>
    <xf numFmtId="0" fontId="1" fillId="0" borderId="5" xfId="0" applyNumberFormat="1" applyFont="1" applyFill="1" applyBorder="1" applyAlignment="1">
      <alignment wrapText="1"/>
    </xf>
    <xf numFmtId="16" fontId="1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0" fontId="1" fillId="0" borderId="0" xfId="1" applyFont="1" applyAlignment="1">
      <alignment vertical="top"/>
    </xf>
    <xf numFmtId="0" fontId="11" fillId="0" borderId="0" xfId="1" applyFont="1" applyAlignment="1">
      <alignment horizontal="left" vertical="top" wrapText="1"/>
    </xf>
    <xf numFmtId="0" fontId="0" fillId="0" borderId="0" xfId="1" applyFont="1"/>
    <xf numFmtId="0" fontId="9" fillId="2" borderId="0" xfId="1" applyFont="1" applyFill="1" applyAlignment="1">
      <alignment horizontal="center" vertical="top" wrapText="1"/>
    </xf>
    <xf numFmtId="0" fontId="12" fillId="2" borderId="0" xfId="1" applyFont="1" applyFill="1" applyAlignment="1">
      <alignment horizontal="center" vertical="top" wrapText="1"/>
    </xf>
    <xf numFmtId="0" fontId="1" fillId="0" borderId="12" xfId="0" applyNumberFormat="1" applyFont="1" applyFill="1" applyBorder="1" applyAlignment="1">
      <alignment horizontal="center" vertical="top" wrapText="1"/>
    </xf>
    <xf numFmtId="0" fontId="1" fillId="0" borderId="0" xfId="1" applyFont="1" applyAlignment="1">
      <alignment horizontal="center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workbookViewId="0">
      <selection activeCell="G9" sqref="G9"/>
    </sheetView>
  </sheetViews>
  <sheetFormatPr defaultColWidth="14.42578125" defaultRowHeight="12.75" x14ac:dyDescent="0.2"/>
  <cols>
    <col min="1" max="6" width="12.5703125" style="27" customWidth="1"/>
  </cols>
  <sheetData>
    <row r="1" spans="1:11" s="27" customFormat="1" ht="12.75" customHeight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s="27" customFormat="1" ht="12.75" customHeight="1" x14ac:dyDescent="0.2">
      <c r="A2" s="3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s="27" customFormat="1" ht="12.75" customHeight="1" x14ac:dyDescent="0.2">
      <c r="A3" s="3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s="27" customFormat="1" ht="15.75" customHeight="1" x14ac:dyDescent="0.2">
      <c r="A4" s="3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s="27" customFormat="1" ht="12.75" customHeight="1" x14ac:dyDescent="0.2">
      <c r="A5" s="3"/>
      <c r="B5" s="1"/>
      <c r="C5" s="2"/>
      <c r="D5" s="2"/>
      <c r="E5" s="2"/>
      <c r="F5" s="2"/>
      <c r="G5" s="2"/>
      <c r="H5" s="2"/>
      <c r="I5" s="2"/>
      <c r="J5" s="2"/>
      <c r="K5" s="2"/>
    </row>
    <row r="6" spans="1:11" s="27" customFormat="1" ht="25.5" customHeight="1" x14ac:dyDescent="0.2">
      <c r="A6" s="3"/>
      <c r="B6" s="4"/>
      <c r="C6" s="4"/>
      <c r="D6" s="4"/>
      <c r="E6" s="2"/>
      <c r="F6" s="2"/>
      <c r="G6" s="2"/>
      <c r="H6" s="2"/>
      <c r="I6" s="2"/>
      <c r="J6" s="2"/>
      <c r="K6" s="2"/>
    </row>
    <row r="7" spans="1:11" s="27" customFormat="1" ht="76.5" customHeight="1" x14ac:dyDescent="0.2">
      <c r="A7" s="3"/>
      <c r="B7" s="5"/>
      <c r="C7" s="5"/>
      <c r="D7" s="5"/>
      <c r="E7" s="2"/>
      <c r="F7" s="2"/>
      <c r="G7" s="2"/>
      <c r="H7" s="2"/>
      <c r="I7" s="2"/>
      <c r="J7" s="2"/>
      <c r="K7" s="2"/>
    </row>
    <row r="8" spans="1:11" s="27" customFormat="1" ht="38.25" customHeight="1" x14ac:dyDescent="0.2">
      <c r="A8" s="3"/>
      <c r="B8" s="5"/>
      <c r="C8" s="5"/>
      <c r="D8" s="5"/>
      <c r="E8" s="2"/>
      <c r="F8" s="2"/>
      <c r="G8" s="2"/>
      <c r="H8" s="2"/>
      <c r="I8" s="2"/>
      <c r="J8" s="2"/>
      <c r="K8" s="2"/>
    </row>
    <row r="9" spans="1:11" s="27" customFormat="1" ht="51" customHeight="1" x14ac:dyDescent="0.2">
      <c r="A9" s="3"/>
      <c r="B9" s="5"/>
      <c r="C9" s="5"/>
      <c r="D9" s="5"/>
      <c r="E9" s="2"/>
      <c r="F9" s="2"/>
      <c r="G9" s="2"/>
      <c r="H9" s="2"/>
      <c r="I9" s="2"/>
      <c r="J9" s="2"/>
      <c r="K9" s="2"/>
    </row>
    <row r="10" spans="1:11" s="27" customFormat="1" ht="51" customHeight="1" x14ac:dyDescent="0.2">
      <c r="A10" s="3"/>
      <c r="B10" s="5"/>
      <c r="C10" s="5"/>
      <c r="D10" s="5"/>
      <c r="E10" s="2"/>
      <c r="F10" s="2"/>
      <c r="G10" s="2"/>
      <c r="H10" s="2"/>
      <c r="I10" s="2"/>
      <c r="J10" s="2"/>
      <c r="K10" s="2"/>
    </row>
    <row r="11" spans="1:11" s="27" customFormat="1" ht="51" customHeight="1" x14ac:dyDescent="0.2">
      <c r="A11" s="3"/>
      <c r="B11" s="5"/>
      <c r="C11" s="5"/>
      <c r="D11" s="5"/>
      <c r="E11" s="2"/>
      <c r="F11" s="2"/>
      <c r="G11" s="2"/>
      <c r="H11" s="2"/>
      <c r="I11" s="2"/>
      <c r="J11" s="2"/>
      <c r="K11" s="2"/>
    </row>
    <row r="12" spans="1:11" s="27" customFormat="1" ht="51" customHeight="1" x14ac:dyDescent="0.2">
      <c r="A12" s="3"/>
      <c r="B12" s="5"/>
      <c r="C12" s="5"/>
      <c r="D12" s="5"/>
      <c r="E12" s="2"/>
      <c r="F12" s="2"/>
      <c r="G12" s="2"/>
      <c r="H12" s="2"/>
      <c r="I12" s="2"/>
      <c r="J12" s="2"/>
      <c r="K12" s="2"/>
    </row>
    <row r="13" spans="1:11" s="27" customFormat="1" ht="12.75" customHeight="1" x14ac:dyDescent="0.2">
      <c r="A13" s="3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s="27" customFormat="1" ht="12.75" customHeight="1" x14ac:dyDescent="0.2">
      <c r="A14" s="3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s="27" customFormat="1" ht="23.25" customHeight="1" x14ac:dyDescent="0.2">
      <c r="A15" s="3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s="27" customFormat="1" ht="12.75" customHeight="1" x14ac:dyDescent="0.2">
      <c r="A16" s="3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s="27" customFormat="1" ht="17.25" customHeight="1" x14ac:dyDescent="0.2">
      <c r="A17" s="3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s="27" customFormat="1" ht="12.75" customHeight="1" x14ac:dyDescent="0.2">
      <c r="A18" s="3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s="27" customFormat="1" ht="25.5" customHeight="1" x14ac:dyDescent="0.2">
      <c r="A19" s="3"/>
      <c r="B19" s="4"/>
      <c r="C19" s="4"/>
      <c r="D19" s="4"/>
      <c r="E19" s="2"/>
      <c r="F19" s="2"/>
      <c r="G19" s="2"/>
      <c r="H19" s="2"/>
      <c r="I19" s="2"/>
      <c r="J19" s="2"/>
      <c r="K19" s="2"/>
    </row>
    <row r="20" spans="1:11" s="27" customFormat="1" ht="76.5" customHeight="1" x14ac:dyDescent="0.2">
      <c r="A20" s="3"/>
      <c r="B20" s="5"/>
      <c r="C20" s="5"/>
      <c r="D20" s="5"/>
      <c r="E20" s="2"/>
      <c r="F20" s="2"/>
      <c r="G20" s="2"/>
      <c r="H20" s="2"/>
      <c r="I20" s="2"/>
      <c r="J20" s="2"/>
      <c r="K20" s="2"/>
    </row>
    <row r="21" spans="1:11" s="27" customFormat="1" ht="63.75" customHeight="1" x14ac:dyDescent="0.2">
      <c r="A21" s="3"/>
      <c r="B21" s="5"/>
      <c r="C21" s="5"/>
      <c r="D21" s="5"/>
      <c r="E21" s="2"/>
      <c r="F21" s="2"/>
      <c r="G21" s="2"/>
      <c r="H21" s="2"/>
      <c r="I21" s="2"/>
      <c r="J21" s="2"/>
      <c r="K21" s="2"/>
    </row>
    <row r="22" spans="1:11" s="27" customFormat="1" ht="76.5" customHeight="1" x14ac:dyDescent="0.2">
      <c r="A22" s="3"/>
      <c r="B22" s="5"/>
      <c r="C22" s="5"/>
      <c r="D22" s="5"/>
      <c r="E22" s="2"/>
      <c r="F22" s="2"/>
      <c r="G22" s="2"/>
      <c r="H22" s="2"/>
      <c r="I22" s="2"/>
      <c r="J22" s="2"/>
      <c r="K22" s="2"/>
    </row>
    <row r="23" spans="1:11" s="27" customFormat="1" ht="63.75" customHeight="1" x14ac:dyDescent="0.2">
      <c r="A23" s="3"/>
      <c r="B23" s="5"/>
      <c r="C23" s="5"/>
      <c r="D23" s="5"/>
      <c r="E23" s="2"/>
      <c r="F23" s="2"/>
      <c r="G23" s="2"/>
      <c r="H23" s="2"/>
      <c r="I23" s="2"/>
      <c r="J23" s="2"/>
      <c r="K23" s="2"/>
    </row>
    <row r="24" spans="1:11" s="27" customFormat="1" ht="102" customHeight="1" x14ac:dyDescent="0.2">
      <c r="A24" s="3"/>
      <c r="B24" s="5"/>
      <c r="C24" s="5"/>
      <c r="D24" s="5"/>
      <c r="E24" s="2"/>
      <c r="F24" s="2"/>
      <c r="G24" s="2"/>
      <c r="H24" s="2"/>
      <c r="I24" s="2"/>
      <c r="J24" s="2"/>
      <c r="K24" s="2"/>
    </row>
    <row r="25" spans="1:11" s="27" customFormat="1" ht="38.25" customHeight="1" x14ac:dyDescent="0.2">
      <c r="A25" s="3"/>
      <c r="B25" s="5"/>
      <c r="C25" s="5"/>
      <c r="D25" s="5"/>
      <c r="E25" s="2"/>
      <c r="F25" s="2"/>
      <c r="G25" s="2"/>
      <c r="H25" s="2"/>
      <c r="I25" s="2"/>
      <c r="J25" s="2"/>
      <c r="K25" s="2"/>
    </row>
    <row r="26" spans="1:11" s="27" customFormat="1" ht="12.75" customHeight="1" x14ac:dyDescent="0.2">
      <c r="A26" s="3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s="27" customFormat="1" ht="17.25" customHeight="1" x14ac:dyDescent="0.2">
      <c r="A27" s="3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s="27" customFormat="1" ht="12.75" customHeight="1" x14ac:dyDescent="0.2">
      <c r="A28" s="3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s="27" customFormat="1" ht="25.5" customHeight="1" x14ac:dyDescent="0.2">
      <c r="A29" s="3"/>
      <c r="B29" s="4"/>
      <c r="C29" s="4"/>
      <c r="D29" s="4"/>
      <c r="E29" s="2"/>
      <c r="F29" s="2"/>
      <c r="G29" s="2"/>
      <c r="H29" s="2"/>
      <c r="I29" s="2"/>
      <c r="J29" s="2"/>
      <c r="K29" s="2"/>
    </row>
    <row r="30" spans="1:11" s="27" customFormat="1" ht="63.75" customHeight="1" x14ac:dyDescent="0.2">
      <c r="A30" s="3"/>
      <c r="B30" s="5"/>
      <c r="C30" s="5"/>
      <c r="D30" s="5"/>
      <c r="E30" s="2"/>
      <c r="F30" s="2"/>
      <c r="G30" s="2"/>
      <c r="H30" s="2"/>
      <c r="I30" s="2"/>
      <c r="J30" s="2"/>
      <c r="K30" s="2"/>
    </row>
    <row r="31" spans="1:11" s="27" customFormat="1" ht="76.5" customHeight="1" x14ac:dyDescent="0.2">
      <c r="A31" s="3"/>
      <c r="B31" s="5"/>
      <c r="C31" s="5"/>
      <c r="D31" s="5"/>
      <c r="E31" s="2"/>
      <c r="F31" s="2"/>
      <c r="G31" s="2"/>
      <c r="H31" s="2"/>
      <c r="I31" s="2"/>
      <c r="J31" s="2"/>
      <c r="K31" s="2"/>
    </row>
    <row r="32" spans="1:11" s="27" customFormat="1" ht="63.75" customHeight="1" x14ac:dyDescent="0.2">
      <c r="A32" s="5"/>
      <c r="B32" s="5"/>
      <c r="C32" s="5"/>
      <c r="D32" s="5"/>
      <c r="E32" s="2"/>
      <c r="F32" s="2"/>
      <c r="G32" s="2"/>
      <c r="H32" s="2"/>
      <c r="I32" s="2"/>
      <c r="J32" s="2"/>
      <c r="K32" s="2"/>
    </row>
    <row r="33" spans="1:11" s="27" customFormat="1" ht="51" customHeight="1" x14ac:dyDescent="0.2">
      <c r="A33" s="5"/>
      <c r="B33" s="5"/>
      <c r="C33" s="5"/>
      <c r="D33" s="5"/>
      <c r="E33" s="2"/>
      <c r="F33" s="2"/>
      <c r="G33" s="2"/>
      <c r="H33" s="2"/>
      <c r="I33" s="2"/>
      <c r="J33" s="2"/>
      <c r="K33" s="2"/>
    </row>
    <row r="34" spans="1:11" s="27" customFormat="1" ht="51" customHeight="1" x14ac:dyDescent="0.2">
      <c r="A34" s="5"/>
      <c r="B34" s="5"/>
      <c r="C34" s="5"/>
      <c r="D34" s="5"/>
      <c r="E34" s="2"/>
      <c r="F34" s="2"/>
      <c r="G34" s="2"/>
      <c r="H34" s="2"/>
      <c r="I34" s="2"/>
      <c r="J34" s="2"/>
      <c r="K34" s="2"/>
    </row>
    <row r="35" spans="1:11" s="27" customFormat="1" ht="76.5" customHeight="1" x14ac:dyDescent="0.2">
      <c r="A35" s="5"/>
      <c r="B35" s="5"/>
      <c r="C35" s="5"/>
      <c r="D35" s="5"/>
      <c r="E35" s="2"/>
      <c r="F35" s="2"/>
      <c r="G35" s="2"/>
      <c r="H35" s="2"/>
      <c r="I35" s="2"/>
      <c r="J35" s="2"/>
      <c r="K35" s="2"/>
    </row>
    <row r="36" spans="1:11" s="27" customFormat="1" ht="12.75" customHeight="1" x14ac:dyDescent="0.2">
      <c r="A36" s="6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s="27" customFormat="1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s="27" customFormat="1" ht="17.25" customHeight="1" x14ac:dyDescent="0.2">
      <c r="A38" s="7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s="27" customFormat="1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s="27" customFormat="1" ht="25.5" customHeight="1" x14ac:dyDescent="0.2">
      <c r="A40" s="4"/>
      <c r="B40" s="4"/>
      <c r="C40" s="4"/>
      <c r="D40" s="4"/>
      <c r="E40" s="2"/>
      <c r="F40" s="2"/>
      <c r="G40" s="2"/>
      <c r="H40" s="2"/>
      <c r="I40" s="2"/>
      <c r="J40" s="2"/>
      <c r="K40" s="2"/>
    </row>
    <row r="41" spans="1:11" s="27" customFormat="1" ht="63.75" customHeight="1" x14ac:dyDescent="0.2">
      <c r="A41" s="5"/>
      <c r="B41" s="5"/>
      <c r="C41" s="5"/>
      <c r="D41" s="5"/>
      <c r="E41" s="2"/>
      <c r="F41" s="2"/>
      <c r="G41" s="2"/>
      <c r="H41" s="2"/>
      <c r="I41" s="2"/>
      <c r="J41" s="2"/>
      <c r="K41" s="2"/>
    </row>
    <row r="42" spans="1:11" s="27" customFormat="1" ht="51" customHeight="1" x14ac:dyDescent="0.2">
      <c r="A42" s="5"/>
      <c r="B42" s="5"/>
      <c r="C42" s="5"/>
      <c r="D42" s="5"/>
      <c r="E42" s="2"/>
      <c r="F42" s="2"/>
      <c r="G42" s="2"/>
      <c r="H42" s="2"/>
      <c r="I42" s="2"/>
      <c r="J42" s="2"/>
      <c r="K42" s="2"/>
    </row>
    <row r="43" spans="1:11" s="27" customFormat="1" ht="51" customHeight="1" x14ac:dyDescent="0.2">
      <c r="A43" s="5"/>
      <c r="B43" s="5"/>
      <c r="C43" s="5"/>
      <c r="D43" s="5"/>
      <c r="E43" s="2"/>
      <c r="F43" s="2"/>
      <c r="G43" s="2"/>
      <c r="H43" s="2"/>
      <c r="I43" s="2"/>
      <c r="J43" s="2"/>
      <c r="K43" s="2"/>
    </row>
    <row r="44" spans="1:11" s="27" customFormat="1" ht="51" customHeight="1" x14ac:dyDescent="0.2">
      <c r="A44" s="5"/>
      <c r="B44" s="5"/>
      <c r="C44" s="5"/>
      <c r="D44" s="5"/>
      <c r="E44" s="2"/>
      <c r="F44" s="2"/>
      <c r="G44" s="2"/>
      <c r="H44" s="2"/>
      <c r="I44" s="2"/>
      <c r="J44" s="2"/>
      <c r="K44" s="2"/>
    </row>
    <row r="45" spans="1:11" s="27" customFormat="1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s="27" customFormat="1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s="27" customFormat="1" ht="23.25" customHeight="1" x14ac:dyDescent="0.2">
      <c r="A47" s="8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s="27" customFormat="1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s="27" customFormat="1" ht="17.25" customHeight="1" x14ac:dyDescent="0.2">
      <c r="A49" s="7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s="27" customFormat="1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s="27" customFormat="1" ht="25.5" customHeight="1" x14ac:dyDescent="0.2">
      <c r="A51" s="4"/>
      <c r="B51" s="4"/>
      <c r="C51" s="4"/>
      <c r="D51" s="4"/>
      <c r="E51" s="2"/>
      <c r="F51" s="2"/>
      <c r="G51" s="2"/>
      <c r="H51" s="2"/>
      <c r="I51" s="2"/>
      <c r="J51" s="2"/>
      <c r="K51" s="2"/>
    </row>
    <row r="52" spans="1:11" s="27" customFormat="1" ht="38.25" customHeight="1" x14ac:dyDescent="0.2">
      <c r="A52" s="5"/>
      <c r="B52" s="5"/>
      <c r="C52" s="5"/>
      <c r="D52" s="5"/>
      <c r="E52" s="2"/>
      <c r="F52" s="2"/>
      <c r="G52" s="2"/>
      <c r="H52" s="2"/>
      <c r="I52" s="2"/>
      <c r="J52" s="2"/>
      <c r="K52" s="2"/>
    </row>
    <row r="53" spans="1:11" s="27" customFormat="1" ht="38.25" customHeight="1" x14ac:dyDescent="0.2">
      <c r="A53" s="5"/>
      <c r="B53" s="5"/>
      <c r="C53" s="5"/>
      <c r="D53" s="5"/>
      <c r="E53" s="2"/>
      <c r="F53" s="2"/>
      <c r="G53" s="2"/>
      <c r="H53" s="2"/>
      <c r="I53" s="2"/>
      <c r="J53" s="2"/>
      <c r="K53" s="2"/>
    </row>
    <row r="54" spans="1:11" s="27" customFormat="1" ht="38.25" customHeight="1" x14ac:dyDescent="0.2">
      <c r="A54" s="5"/>
      <c r="B54" s="5"/>
      <c r="C54" s="5"/>
      <c r="D54" s="5"/>
      <c r="E54" s="2"/>
      <c r="F54" s="2"/>
      <c r="G54" s="2"/>
      <c r="H54" s="2"/>
      <c r="I54" s="2"/>
      <c r="J54" s="2"/>
      <c r="K54" s="2"/>
    </row>
    <row r="55" spans="1:11" s="27" customFormat="1" ht="51" customHeight="1" x14ac:dyDescent="0.2">
      <c r="A55" s="5"/>
      <c r="B55" s="5"/>
      <c r="C55" s="5"/>
      <c r="D55" s="5"/>
      <c r="E55" s="2"/>
      <c r="F55" s="2"/>
      <c r="G55" s="2"/>
      <c r="H55" s="2"/>
      <c r="I55" s="2"/>
      <c r="J55" s="2"/>
      <c r="K55" s="2"/>
    </row>
    <row r="56" spans="1:11" s="27" customFormat="1" ht="38.25" customHeight="1" x14ac:dyDescent="0.2">
      <c r="A56" s="5"/>
      <c r="B56" s="5"/>
      <c r="C56" s="5"/>
      <c r="D56" s="5"/>
      <c r="E56" s="2"/>
      <c r="F56" s="2"/>
      <c r="G56" s="2"/>
      <c r="H56" s="2"/>
      <c r="I56" s="2"/>
      <c r="J56" s="2"/>
      <c r="K56" s="2"/>
    </row>
    <row r="57" spans="1:11" s="27" customFormat="1" ht="51" customHeight="1" x14ac:dyDescent="0.2">
      <c r="A57" s="5"/>
      <c r="B57" s="5"/>
      <c r="C57" s="5"/>
      <c r="D57" s="5"/>
      <c r="E57" s="2"/>
      <c r="F57" s="2"/>
      <c r="G57" s="2"/>
      <c r="H57" s="2"/>
      <c r="I57" s="2"/>
      <c r="J57" s="2"/>
      <c r="K57" s="2"/>
    </row>
    <row r="58" spans="1:11" s="27" customFormat="1" ht="38.25" customHeight="1" x14ac:dyDescent="0.2">
      <c r="A58" s="5"/>
      <c r="B58" s="5"/>
      <c r="C58" s="5"/>
      <c r="D58" s="5"/>
      <c r="E58" s="2"/>
      <c r="F58" s="2"/>
      <c r="G58" s="2"/>
      <c r="H58" s="2"/>
      <c r="I58" s="2"/>
      <c r="J58" s="2"/>
      <c r="K58" s="2"/>
    </row>
    <row r="59" spans="1:11" s="27" customFormat="1" ht="38.25" customHeight="1" x14ac:dyDescent="0.2">
      <c r="A59" s="5"/>
      <c r="B59" s="5"/>
      <c r="C59" s="5"/>
      <c r="D59" s="5"/>
      <c r="E59" s="2"/>
      <c r="F59" s="2"/>
      <c r="G59" s="2"/>
      <c r="H59" s="2"/>
      <c r="I59" s="2"/>
      <c r="J59" s="2"/>
      <c r="K59" s="2"/>
    </row>
    <row r="60" spans="1:11" s="27" customFormat="1" ht="63.75" customHeight="1" x14ac:dyDescent="0.2">
      <c r="A60" s="5"/>
      <c r="B60" s="5"/>
      <c r="C60" s="5"/>
      <c r="D60" s="5"/>
      <c r="E60" s="2"/>
      <c r="F60" s="2"/>
      <c r="G60" s="2"/>
      <c r="H60" s="2"/>
      <c r="I60" s="2"/>
      <c r="J60" s="2"/>
      <c r="K60" s="2"/>
    </row>
    <row r="61" spans="1:11" s="27" customFormat="1" ht="63.75" customHeight="1" x14ac:dyDescent="0.2">
      <c r="A61" s="5"/>
      <c r="B61" s="5"/>
      <c r="C61" s="5"/>
      <c r="D61" s="5"/>
      <c r="E61" s="2"/>
      <c r="F61" s="2"/>
      <c r="G61" s="2"/>
      <c r="H61" s="2"/>
      <c r="I61" s="2"/>
      <c r="J61" s="2"/>
      <c r="K61" s="2"/>
    </row>
    <row r="62" spans="1:11" s="27" customFormat="1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s="27" customFormat="1" ht="17.25" customHeight="1" x14ac:dyDescent="0.2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s="27" customFormat="1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s="27" customFormat="1" ht="15.75" customHeight="1" x14ac:dyDescent="0.2">
      <c r="A65" s="4"/>
      <c r="B65" s="4"/>
      <c r="C65" s="4"/>
      <c r="D65" s="4"/>
      <c r="E65" s="2"/>
      <c r="F65" s="2"/>
      <c r="G65" s="2"/>
      <c r="H65" s="2"/>
      <c r="I65" s="2"/>
      <c r="J65" s="2"/>
      <c r="K65" s="2"/>
    </row>
    <row r="66" spans="1:11" s="27" customFormat="1" ht="15.75" customHeight="1" x14ac:dyDescent="0.2">
      <c r="A66" s="5"/>
      <c r="B66" s="5"/>
      <c r="C66" s="5"/>
      <c r="D66" s="5"/>
      <c r="E66" s="2"/>
      <c r="F66" s="2"/>
      <c r="G66" s="2"/>
      <c r="H66" s="2"/>
      <c r="I66" s="2"/>
      <c r="J66" s="2"/>
      <c r="K66" s="2"/>
    </row>
    <row r="67" spans="1:11" s="27" customFormat="1" ht="15.75" customHeight="1" x14ac:dyDescent="0.2">
      <c r="A67" s="5"/>
      <c r="B67" s="5"/>
      <c r="C67" s="5"/>
      <c r="D67" s="5"/>
      <c r="E67" s="2"/>
      <c r="F67" s="2"/>
      <c r="G67" s="2"/>
      <c r="H67" s="2"/>
      <c r="I67" s="2"/>
      <c r="J67" s="2"/>
      <c r="K67" s="2"/>
    </row>
    <row r="68" spans="1:11" s="27" customFormat="1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s="27" customFormat="1" ht="15.75" customHeight="1" x14ac:dyDescent="0.2">
      <c r="A69" s="7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s="27" customFormat="1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s="27" customFormat="1" ht="15.75" customHeight="1" x14ac:dyDescent="0.2">
      <c r="A71" s="4"/>
      <c r="B71" s="4"/>
      <c r="C71" s="4"/>
      <c r="D71" s="4"/>
      <c r="E71" s="2"/>
      <c r="F71" s="2"/>
      <c r="G71" s="2"/>
      <c r="H71" s="2"/>
      <c r="I71" s="2"/>
      <c r="J71" s="2"/>
      <c r="K71" s="2"/>
    </row>
    <row r="72" spans="1:11" s="27" customFormat="1" ht="63.75" customHeight="1" x14ac:dyDescent="0.2">
      <c r="A72" s="5"/>
      <c r="B72" s="5"/>
      <c r="C72" s="5"/>
      <c r="D72" s="5"/>
      <c r="E72" s="2"/>
      <c r="F72" s="2"/>
      <c r="G72" s="2"/>
      <c r="H72" s="2"/>
      <c r="I72" s="2"/>
      <c r="J72" s="2"/>
      <c r="K72" s="2"/>
    </row>
    <row r="73" spans="1:11" s="27" customFormat="1" ht="25.5" customHeight="1" x14ac:dyDescent="0.2">
      <c r="A73" s="5"/>
      <c r="B73" s="5"/>
      <c r="C73" s="5"/>
      <c r="D73" s="5"/>
      <c r="E73" s="2"/>
      <c r="F73" s="2"/>
      <c r="G73" s="2"/>
      <c r="H73" s="2"/>
      <c r="I73" s="2"/>
      <c r="J73" s="2"/>
      <c r="K73" s="2"/>
    </row>
    <row r="74" spans="1:11" s="27" customFormat="1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s="27" customFormat="1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s="27" customFormat="1" ht="23.25" customHeight="1" x14ac:dyDescent="0.2">
      <c r="A76" s="8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s="27" customFormat="1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s="27" customFormat="1" ht="17.25" customHeight="1" x14ac:dyDescent="0.2">
      <c r="A78" s="7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s="27" customFormat="1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s="27" customFormat="1" ht="15.75" customHeight="1" x14ac:dyDescent="0.2">
      <c r="A80" s="4"/>
      <c r="B80" s="4"/>
      <c r="C80" s="4"/>
      <c r="D80" s="4"/>
      <c r="E80" s="2"/>
      <c r="F80" s="2"/>
      <c r="G80" s="2"/>
      <c r="H80" s="2"/>
      <c r="I80" s="2"/>
      <c r="J80" s="2"/>
      <c r="K80" s="2"/>
    </row>
    <row r="81" spans="1:11" s="27" customFormat="1" ht="15.75" customHeight="1" x14ac:dyDescent="0.2">
      <c r="A81" s="5"/>
      <c r="B81" s="5"/>
      <c r="C81" s="5"/>
      <c r="D81" s="5"/>
      <c r="E81" s="2"/>
      <c r="F81" s="2"/>
      <c r="G81" s="2"/>
      <c r="H81" s="2"/>
      <c r="I81" s="2"/>
      <c r="J81" s="2"/>
      <c r="K81" s="2"/>
    </row>
    <row r="82" spans="1:11" s="27" customFormat="1" ht="15.75" customHeight="1" x14ac:dyDescent="0.2">
      <c r="A82" s="5"/>
      <c r="B82" s="5"/>
      <c r="C82" s="5"/>
      <c r="D82" s="5"/>
      <c r="E82" s="2"/>
      <c r="F82" s="2"/>
      <c r="G82" s="2"/>
      <c r="H82" s="2"/>
      <c r="I82" s="2"/>
      <c r="J82" s="2"/>
      <c r="K82" s="2"/>
    </row>
    <row r="83" spans="1:11" s="27" customFormat="1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s="27" customFormat="1" ht="15.75" customHeight="1" x14ac:dyDescent="0.2">
      <c r="A84" s="7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s="27" customFormat="1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s="27" customFormat="1" ht="15.75" customHeight="1" x14ac:dyDescent="0.2">
      <c r="A86" s="4"/>
      <c r="B86" s="4"/>
      <c r="C86" s="4"/>
      <c r="D86" s="4"/>
      <c r="E86" s="2"/>
      <c r="F86" s="2"/>
      <c r="G86" s="2"/>
      <c r="H86" s="2"/>
      <c r="I86" s="2"/>
      <c r="J86" s="2"/>
      <c r="K86" s="2"/>
    </row>
    <row r="87" spans="1:11" s="27" customFormat="1" ht="15.75" customHeight="1" x14ac:dyDescent="0.2">
      <c r="A87" s="5"/>
      <c r="B87" s="5"/>
      <c r="C87" s="5"/>
      <c r="D87" s="5"/>
      <c r="E87" s="2"/>
      <c r="F87" s="2"/>
      <c r="G87" s="2"/>
      <c r="H87" s="2"/>
      <c r="I87" s="2"/>
      <c r="J87" s="2"/>
      <c r="K87" s="2"/>
    </row>
    <row r="88" spans="1:11" s="27" customFormat="1" ht="15.75" customHeight="1" x14ac:dyDescent="0.2">
      <c r="A88" s="5"/>
      <c r="B88" s="5"/>
      <c r="C88" s="5"/>
      <c r="D88" s="5"/>
      <c r="E88" s="2"/>
      <c r="F88" s="2"/>
      <c r="G88" s="2"/>
      <c r="H88" s="2"/>
      <c r="I88" s="2"/>
      <c r="J88" s="2"/>
      <c r="K88" s="2"/>
    </row>
    <row r="89" spans="1:11" s="27" customFormat="1" ht="15.75" customHeight="1" x14ac:dyDescent="0.2">
      <c r="A89" s="5"/>
      <c r="B89" s="5"/>
      <c r="C89" s="5"/>
      <c r="D89" s="5"/>
      <c r="E89" s="2"/>
      <c r="F89" s="2"/>
      <c r="G89" s="2"/>
      <c r="H89" s="2"/>
      <c r="I89" s="2"/>
      <c r="J89" s="2"/>
      <c r="K89" s="2"/>
    </row>
    <row r="90" spans="1:11" s="27" customFormat="1" ht="15.75" customHeight="1" x14ac:dyDescent="0.2">
      <c r="A90" s="5"/>
      <c r="B90" s="5"/>
      <c r="C90" s="5"/>
      <c r="D90" s="5"/>
      <c r="E90" s="2"/>
      <c r="F90" s="2"/>
      <c r="G90" s="2"/>
      <c r="H90" s="2"/>
      <c r="I90" s="2"/>
      <c r="J90" s="2"/>
      <c r="K90" s="2"/>
    </row>
    <row r="91" spans="1:11" s="27" customFormat="1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s="27" customFormat="1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s="27" customFormat="1" ht="15.75" customHeight="1" x14ac:dyDescent="0.2">
      <c r="A93" s="8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s="27" customFormat="1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s="27" customFormat="1" ht="15.75" customHeight="1" x14ac:dyDescent="0.2">
      <c r="A95" s="4"/>
      <c r="B95" s="4"/>
      <c r="C95" s="4"/>
      <c r="D95" s="4"/>
      <c r="E95" s="2"/>
      <c r="F95" s="2"/>
      <c r="G95" s="2"/>
      <c r="H95" s="2"/>
      <c r="I95" s="2"/>
      <c r="J95" s="2"/>
      <c r="K95" s="2"/>
    </row>
    <row r="96" spans="1:11" s="27" customFormat="1" ht="15.75" customHeight="1" x14ac:dyDescent="0.2">
      <c r="A96" s="5"/>
      <c r="B96" s="5"/>
      <c r="C96" s="5"/>
      <c r="D96" s="5"/>
      <c r="E96" s="2"/>
      <c r="F96" s="2"/>
      <c r="G96" s="2"/>
      <c r="H96" s="2"/>
      <c r="I96" s="2"/>
      <c r="J96" s="2"/>
      <c r="K96" s="2"/>
    </row>
    <row r="97" spans="1:11" s="27" customFormat="1" ht="15.75" customHeight="1" x14ac:dyDescent="0.2">
      <c r="A97" s="5"/>
      <c r="B97" s="5"/>
      <c r="C97" s="5"/>
      <c r="D97" s="5"/>
      <c r="E97" s="2"/>
      <c r="F97" s="2"/>
      <c r="G97" s="2"/>
      <c r="H97" s="2"/>
      <c r="I97" s="2"/>
      <c r="J97" s="2"/>
      <c r="K97" s="2"/>
    </row>
    <row r="98" spans="1:11" s="27" customFormat="1" ht="15.75" customHeight="1" x14ac:dyDescent="0.2">
      <c r="A98" s="5"/>
      <c r="B98" s="5"/>
      <c r="C98" s="5"/>
      <c r="D98" s="5"/>
      <c r="E98" s="2"/>
      <c r="F98" s="2"/>
      <c r="G98" s="2"/>
      <c r="H98" s="2"/>
      <c r="I98" s="2"/>
      <c r="J98" s="2"/>
      <c r="K98" s="2"/>
    </row>
    <row r="99" spans="1:11" s="27" customFormat="1" ht="15.75" customHeight="1" x14ac:dyDescent="0.2">
      <c r="A99" s="5"/>
      <c r="B99" s="5"/>
      <c r="C99" s="5"/>
      <c r="D99" s="5"/>
      <c r="E99" s="2"/>
      <c r="F99" s="2"/>
      <c r="G99" s="2"/>
      <c r="H99" s="2"/>
      <c r="I99" s="2"/>
      <c r="J99" s="2"/>
      <c r="K99" s="2"/>
    </row>
    <row r="100" spans="1:11" s="27" customFormat="1" ht="15.75" customHeight="1" x14ac:dyDescent="0.2">
      <c r="A100" s="5"/>
      <c r="B100" s="5"/>
      <c r="C100" s="5"/>
      <c r="D100" s="5"/>
      <c r="E100" s="2"/>
      <c r="F100" s="2"/>
      <c r="G100" s="2"/>
      <c r="H100" s="2"/>
      <c r="I100" s="2"/>
      <c r="J100" s="2"/>
      <c r="K100" s="2"/>
    </row>
    <row r="101" spans="1:11" s="27" customFormat="1" ht="15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s="27" customFormat="1" ht="15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s="27" customFormat="1" ht="15.75" customHeight="1" x14ac:dyDescent="0.2">
      <c r="A103" s="8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s="27" customFormat="1" ht="15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s="27" customFormat="1" ht="15.75" customHeight="1" x14ac:dyDescent="0.2">
      <c r="A105" s="4"/>
      <c r="B105" s="4"/>
      <c r="C105" s="4"/>
      <c r="D105" s="4"/>
      <c r="E105" s="2"/>
      <c r="F105" s="2"/>
      <c r="G105" s="2"/>
      <c r="H105" s="2"/>
      <c r="I105" s="2"/>
      <c r="J105" s="2"/>
      <c r="K105" s="2"/>
    </row>
    <row r="106" spans="1:11" s="27" customFormat="1" ht="15.75" customHeight="1" x14ac:dyDescent="0.2">
      <c r="A106" s="5"/>
      <c r="B106" s="5"/>
      <c r="C106" s="5"/>
      <c r="D106" s="5"/>
      <c r="E106" s="2"/>
      <c r="F106" s="2"/>
      <c r="G106" s="2"/>
      <c r="H106" s="2"/>
      <c r="I106" s="2"/>
      <c r="J106" s="2"/>
      <c r="K106" s="2"/>
    </row>
    <row r="107" spans="1:11" s="27" customFormat="1" ht="38.25" customHeight="1" x14ac:dyDescent="0.2">
      <c r="A107" s="5"/>
      <c r="B107" s="5"/>
      <c r="C107" s="5"/>
      <c r="D107" s="5"/>
      <c r="E107" s="2"/>
      <c r="F107" s="2"/>
      <c r="G107" s="2"/>
      <c r="H107" s="2"/>
      <c r="I107" s="2"/>
      <c r="J107" s="2"/>
      <c r="K107" s="2"/>
    </row>
    <row r="108" spans="1:11" s="27" customFormat="1" ht="51" customHeight="1" x14ac:dyDescent="0.2">
      <c r="A108" s="5"/>
      <c r="B108" s="5"/>
      <c r="C108" s="5"/>
      <c r="D108" s="5"/>
      <c r="E108" s="2"/>
      <c r="F108" s="2"/>
      <c r="G108" s="2"/>
      <c r="H108" s="2"/>
      <c r="I108" s="2"/>
      <c r="J108" s="2"/>
      <c r="K108" s="2"/>
    </row>
    <row r="109" spans="1:11" s="27" customFormat="1" ht="38.25" customHeight="1" x14ac:dyDescent="0.2">
      <c r="A109" s="5"/>
      <c r="B109" s="5"/>
      <c r="C109" s="5"/>
      <c r="D109" s="5"/>
      <c r="E109" s="2"/>
      <c r="F109" s="2"/>
      <c r="G109" s="2"/>
      <c r="H109" s="2"/>
      <c r="I109" s="2"/>
      <c r="J109" s="2"/>
      <c r="K109" s="2"/>
    </row>
    <row r="110" spans="1:11" s="27" customFormat="1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s="27" customFormat="1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s="27" customFormat="1" ht="23.25" customHeight="1" x14ac:dyDescent="0.2">
      <c r="A112" s="8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s="27" customFormat="1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s="27" customFormat="1" ht="12.75" customHeight="1" x14ac:dyDescent="0.2">
      <c r="A114" s="4"/>
      <c r="B114" s="4"/>
      <c r="C114" s="4"/>
      <c r="D114" s="4"/>
      <c r="E114" s="2"/>
      <c r="F114" s="2"/>
      <c r="G114" s="2"/>
      <c r="H114" s="2"/>
      <c r="I114" s="2"/>
      <c r="J114" s="2"/>
      <c r="K114" s="2"/>
    </row>
    <row r="115" spans="1:11" s="27" customFormat="1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s="27" customFormat="1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s="27" customFormat="1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s="27" customFormat="1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s="27" customFormat="1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s="27" customFormat="1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s="27" customFormat="1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s="27" customFormat="1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s="27" customFormat="1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s="27" customFormat="1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s="27" customFormat="1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s="27" customFormat="1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s="27" customFormat="1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s="27" customFormat="1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s="27" customFormat="1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s="27" customFormat="1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s="27" customFormat="1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s="27" customFormat="1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s="27" customFormat="1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s="27" customFormat="1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s="27" customFormat="1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s="27" customFormat="1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s="27" customFormat="1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s="27" customFormat="1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s="27" customFormat="1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s="27" customFormat="1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s="27" customFormat="1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s="27" customFormat="1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s="27" customFormat="1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s="27" customFormat="1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s="27" customFormat="1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s="27" customFormat="1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s="27" customFormat="1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s="27" customFormat="1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s="27" customFormat="1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s="27" customFormat="1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s="27" customFormat="1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s="27" customFormat="1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s="27" customFormat="1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s="27" customFormat="1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s="27" customFormat="1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s="27" customFormat="1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s="27" customFormat="1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s="27" customFormat="1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s="27" customFormat="1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s="27" customFormat="1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s="27" customFormat="1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s="27" customFormat="1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s="27" customFormat="1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s="27" customFormat="1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s="27" customFormat="1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s="27" customFormat="1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s="27" customFormat="1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s="27" customFormat="1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s="27" customFormat="1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s="27" customFormat="1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s="27" customFormat="1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s="27" customFormat="1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s="27" customFormat="1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s="27" customFormat="1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s="27" customFormat="1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s="27" customFormat="1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s="27" customFormat="1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s="27" customFormat="1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s="27" customFormat="1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s="27" customFormat="1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s="27" customFormat="1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s="27" customFormat="1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s="27" customFormat="1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s="27" customFormat="1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s="27" customFormat="1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s="27" customFormat="1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s="27" customFormat="1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s="27" customFormat="1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s="27" customFormat="1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s="27" customFormat="1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s="27" customFormat="1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s="27" customFormat="1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s="27" customFormat="1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s="27" customFormat="1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s="27" customFormat="1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s="27" customFormat="1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s="27" customFormat="1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s="27" customFormat="1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s="27" customFormat="1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s="27" customFormat="1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s="27" customFormat="1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s="27" customFormat="1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s="27" customFormat="1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s="27" customFormat="1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s="27" customFormat="1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s="27" customFormat="1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s="27" customFormat="1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s="27" customFormat="1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s="27" customFormat="1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s="27" customFormat="1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s="27" customFormat="1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s="27" customFormat="1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s="27" customFormat="1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s="27" customFormat="1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s="27" customFormat="1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s="27" customFormat="1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s="27" customFormat="1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s="27" customFormat="1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s="27" customFormat="1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s="27" customFormat="1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s="27" customFormat="1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s="27" customFormat="1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s="27" customFormat="1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s="27" customFormat="1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s="27" customFormat="1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s="27" customFormat="1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s="27" customFormat="1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s="27" customFormat="1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s="27" customFormat="1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s="27" customFormat="1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s="27" customFormat="1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s="27" customFormat="1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s="27" customFormat="1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s="27" customFormat="1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s="27" customFormat="1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s="27" customFormat="1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s="27" customFormat="1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s="27" customFormat="1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s="27" customFormat="1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s="27" customFormat="1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s="27" customFormat="1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s="27" customFormat="1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s="27" customFormat="1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s="27" customFormat="1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s="27" customFormat="1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s="27" customFormat="1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s="27" customFormat="1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s="27" customFormat="1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s="27" customFormat="1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s="27" customFormat="1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s="27" customFormat="1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s="27" customFormat="1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s="27" customFormat="1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s="27" customFormat="1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s="27" customFormat="1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s="27" customFormat="1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s="27" customFormat="1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s="27" customFormat="1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s="27" customFormat="1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s="27" customFormat="1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s="27" customFormat="1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s="27" customFormat="1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s="27" customFormat="1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s="27" customFormat="1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s="27" customFormat="1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s="27" customFormat="1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s="27" customFormat="1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s="27" customFormat="1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s="27" customFormat="1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s="27" customFormat="1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s="27" customFormat="1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s="27" customFormat="1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s="27" customFormat="1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s="27" customFormat="1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s="27" customFormat="1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s="27" customFormat="1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s="27" customFormat="1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s="27" customFormat="1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s="27" customFormat="1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s="27" customFormat="1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s="27" customFormat="1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s="27" customFormat="1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s="27" customFormat="1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s="27" customFormat="1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s="27" customFormat="1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s="27" customFormat="1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s="27" customFormat="1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s="27" customFormat="1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s="27" customFormat="1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s="27" customFormat="1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s="27" customFormat="1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s="27" customFormat="1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s="27" customFormat="1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s="27" customFormat="1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s="27" customFormat="1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s="27" customFormat="1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s="27" customFormat="1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s="27" customFormat="1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s="27" customFormat="1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s="27" customFormat="1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s="27" customFormat="1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s="27" customFormat="1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s="27" customFormat="1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s="27" customFormat="1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s="27" customFormat="1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s="27" customFormat="1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s="27" customFormat="1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s="27" customFormat="1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s="27" customFormat="1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s="27" customFormat="1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s="27" customFormat="1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s="27" customFormat="1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s="27" customFormat="1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s="27" customFormat="1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s="27" customFormat="1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s="27" customFormat="1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s="27" customFormat="1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s="27" customFormat="1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s="27" customFormat="1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s="27" customFormat="1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s="27" customFormat="1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s="27" customFormat="1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s="27" customFormat="1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s="27" customFormat="1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s="27" customFormat="1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s="27" customFormat="1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s="27" customFormat="1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s="27" customFormat="1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s="27" customFormat="1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s="27" customFormat="1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s="27" customFormat="1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s="27" customFormat="1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s="27" customFormat="1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s="27" customFormat="1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s="27" customFormat="1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s="27" customFormat="1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s="27" customFormat="1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s="27" customFormat="1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s="27" customFormat="1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s="27" customFormat="1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s="27" customFormat="1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s="27" customFormat="1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s="27" customFormat="1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s="27" customFormat="1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s="27" customFormat="1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s="27" customFormat="1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s="27" customFormat="1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s="27" customFormat="1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s="27" customFormat="1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s="27" customFormat="1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s="27" customFormat="1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s="27" customFormat="1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s="27" customFormat="1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s="27" customFormat="1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s="27" customFormat="1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s="27" customFormat="1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s="27" customFormat="1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s="27" customFormat="1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s="27" customFormat="1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s="27" customFormat="1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s="27" customFormat="1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s="27" customFormat="1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s="27" customFormat="1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s="27" customFormat="1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s="27" customFormat="1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s="27" customFormat="1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s="27" customFormat="1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s="27" customFormat="1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s="27" customFormat="1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s="27" customFormat="1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s="27" customFormat="1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s="27" customFormat="1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s="27" customFormat="1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s="27" customFormat="1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s="27" customFormat="1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s="27" customFormat="1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s="27" customFormat="1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s="27" customFormat="1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s="27" customFormat="1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s="27" customFormat="1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s="27" customFormat="1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s="27" customFormat="1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s="27" customFormat="1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s="27" customFormat="1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s="27" customFormat="1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s="27" customFormat="1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s="27" customFormat="1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s="27" customFormat="1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s="27" customFormat="1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s="27" customFormat="1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s="27" customFormat="1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s="27" customFormat="1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s="27" customFormat="1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s="27" customFormat="1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s="27" customFormat="1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s="27" customFormat="1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s="27" customFormat="1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s="27" customFormat="1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s="27" customFormat="1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s="27" customFormat="1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s="27" customFormat="1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s="27" customFormat="1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s="27" customFormat="1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s="27" customFormat="1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s="27" customFormat="1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s="27" customFormat="1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s="27" customFormat="1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s="27" customFormat="1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s="27" customFormat="1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s="27" customFormat="1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s="27" customFormat="1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s="27" customFormat="1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s="27" customFormat="1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s="27" customFormat="1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s="27" customFormat="1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s="27" customFormat="1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s="27" customFormat="1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s="27" customFormat="1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s="27" customFormat="1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s="27" customFormat="1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s="27" customFormat="1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s="27" customFormat="1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s="27" customFormat="1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s="27" customFormat="1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s="27" customFormat="1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s="27" customFormat="1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s="27" customFormat="1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s="27" customFormat="1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s="27" customFormat="1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s="27" customFormat="1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s="27" customFormat="1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s="27" customFormat="1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s="27" customFormat="1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s="27" customFormat="1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s="27" customFormat="1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s="27" customFormat="1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s="27" customFormat="1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s="27" customFormat="1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s="27" customFormat="1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s="27" customFormat="1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s="27" customFormat="1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s="27" customFormat="1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s="27" customFormat="1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s="27" customFormat="1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s="27" customFormat="1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s="27" customFormat="1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s="27" customFormat="1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s="27" customFormat="1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s="27" customFormat="1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s="27" customFormat="1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s="27" customFormat="1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s="27" customFormat="1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s="27" customFormat="1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s="27" customFormat="1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s="27" customFormat="1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s="27" customFormat="1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s="27" customFormat="1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s="27" customFormat="1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s="27" customFormat="1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s="27" customFormat="1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s="27" customFormat="1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s="27" customFormat="1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s="27" customFormat="1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s="27" customFormat="1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s="27" customFormat="1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s="27" customFormat="1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s="27" customFormat="1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s="27" customFormat="1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s="27" customFormat="1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s="27" customFormat="1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s="27" customFormat="1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s="27" customFormat="1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s="27" customFormat="1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s="27" customFormat="1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s="27" customFormat="1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s="27" customFormat="1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s="27" customFormat="1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s="27" customFormat="1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s="27" customFormat="1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s="27" customFormat="1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s="27" customFormat="1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s="27" customFormat="1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s="27" customFormat="1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s="27" customFormat="1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s="27" customFormat="1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s="27" customFormat="1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s="27" customFormat="1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s="27" customFormat="1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s="27" customFormat="1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s="27" customFormat="1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s="27" customFormat="1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s="27" customFormat="1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s="27" customFormat="1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s="27" customFormat="1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s="27" customFormat="1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s="27" customFormat="1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s="27" customFormat="1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s="27" customFormat="1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s="27" customFormat="1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s="27" customFormat="1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s="27" customFormat="1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s="27" customFormat="1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s="27" customFormat="1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s="27" customFormat="1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s="27" customFormat="1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s="27" customFormat="1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s="27" customFormat="1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s="27" customFormat="1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s="27" customFormat="1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s="27" customFormat="1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s="27" customFormat="1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s="27" customFormat="1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s="27" customFormat="1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s="27" customFormat="1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s="27" customFormat="1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s="27" customFormat="1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s="27" customFormat="1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s="27" customFormat="1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s="27" customFormat="1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s="27" customFormat="1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s="27" customFormat="1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s="27" customFormat="1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s="27" customFormat="1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s="27" customFormat="1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s="27" customFormat="1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s="27" customFormat="1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s="27" customFormat="1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s="27" customFormat="1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s="27" customFormat="1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s="27" customFormat="1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s="27" customFormat="1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s="27" customFormat="1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s="27" customFormat="1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s="27" customFormat="1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s="27" customFormat="1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s="27" customFormat="1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s="27" customFormat="1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s="27" customFormat="1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s="27" customFormat="1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s="27" customFormat="1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s="27" customFormat="1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s="27" customFormat="1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s="27" customFormat="1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s="27" customFormat="1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s="27" customFormat="1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s="27" customFormat="1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s="27" customFormat="1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s="27" customFormat="1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s="27" customFormat="1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s="27" customFormat="1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s="27" customFormat="1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s="27" customFormat="1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s="27" customFormat="1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s="27" customFormat="1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s="27" customFormat="1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s="27" customFormat="1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s="27" customFormat="1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s="27" customFormat="1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s="27" customFormat="1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s="27" customFormat="1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s="27" customFormat="1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s="27" customFormat="1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s="27" customFormat="1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s="27" customFormat="1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s="27" customFormat="1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s="27" customFormat="1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s="27" customFormat="1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s="27" customFormat="1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s="27" customFormat="1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s="27" customFormat="1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s="27" customFormat="1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s="27" customFormat="1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s="27" customFormat="1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s="27" customFormat="1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s="27" customFormat="1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s="27" customFormat="1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s="27" customFormat="1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s="27" customFormat="1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s="27" customFormat="1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s="27" customFormat="1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s="27" customFormat="1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s="27" customFormat="1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s="27" customFormat="1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s="27" customFormat="1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s="27" customFormat="1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s="27" customFormat="1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s="27" customFormat="1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s="27" customFormat="1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s="27" customFormat="1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s="27" customFormat="1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s="27" customFormat="1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s="27" customFormat="1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s="27" customFormat="1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s="27" customFormat="1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s="27" customFormat="1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s="27" customFormat="1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s="27" customFormat="1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s="27" customFormat="1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s="27" customFormat="1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s="27" customFormat="1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s="27" customFormat="1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s="27" customFormat="1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s="27" customFormat="1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s="27" customFormat="1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s="27" customFormat="1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s="27" customFormat="1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s="27" customFormat="1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s="27" customFormat="1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s="27" customFormat="1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s="27" customFormat="1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s="27" customFormat="1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s="27" customFormat="1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s="27" customFormat="1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s="27" customFormat="1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s="27" customFormat="1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s="27" customFormat="1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s="27" customFormat="1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s="27" customFormat="1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s="27" customFormat="1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s="27" customFormat="1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s="27" customFormat="1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s="27" customFormat="1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s="27" customFormat="1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s="27" customFormat="1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s="27" customFormat="1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s="27" customFormat="1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s="27" customFormat="1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s="27" customFormat="1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s="27" customFormat="1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s="27" customFormat="1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s="27" customFormat="1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s="27" customFormat="1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s="27" customFormat="1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s="27" customFormat="1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s="27" customFormat="1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s="27" customFormat="1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s="27" customFormat="1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s="27" customFormat="1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s="27" customFormat="1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s="27" customFormat="1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s="27" customFormat="1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s="27" customFormat="1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s="27" customFormat="1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s="27" customFormat="1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s="27" customFormat="1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s="27" customFormat="1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s="27" customFormat="1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s="27" customFormat="1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s="27" customFormat="1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s="27" customFormat="1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s="27" customFormat="1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s="27" customFormat="1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s="27" customFormat="1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s="27" customFormat="1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s="27" customFormat="1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s="27" customFormat="1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s="27" customFormat="1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s="27" customFormat="1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s="27" customFormat="1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s="27" customFormat="1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s="27" customFormat="1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s="27" customFormat="1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s="27" customFormat="1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s="27" customFormat="1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s="27" customFormat="1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s="27" customFormat="1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s="27" customFormat="1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s="27" customFormat="1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s="27" customFormat="1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s="27" customFormat="1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s="27" customFormat="1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s="27" customFormat="1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s="27" customFormat="1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s="27" customFormat="1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s="27" customFormat="1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s="27" customFormat="1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s="27" customFormat="1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s="27" customFormat="1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s="27" customFormat="1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s="27" customFormat="1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s="27" customFormat="1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s="27" customFormat="1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s="27" customFormat="1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s="27" customFormat="1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s="27" customFormat="1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s="27" customFormat="1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s="27" customFormat="1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s="27" customFormat="1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s="27" customFormat="1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s="27" customFormat="1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s="27" customFormat="1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s="27" customFormat="1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s="27" customFormat="1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s="27" customFormat="1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s="27" customFormat="1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s="27" customFormat="1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s="27" customFormat="1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s="27" customFormat="1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s="27" customFormat="1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s="27" customFormat="1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s="27" customFormat="1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s="27" customFormat="1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s="27" customFormat="1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s="27" customFormat="1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s="27" customFormat="1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s="27" customFormat="1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s="27" customFormat="1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s="27" customFormat="1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s="27" customFormat="1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s="27" customFormat="1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s="27" customFormat="1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s="27" customFormat="1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s="27" customFormat="1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s="27" customFormat="1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s="27" customFormat="1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s="27" customFormat="1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s="27" customFormat="1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s="27" customFormat="1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s="27" customFormat="1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s="27" customFormat="1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s="27" customFormat="1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s="27" customFormat="1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s="27" customFormat="1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s="27" customFormat="1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s="27" customFormat="1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s="27" customFormat="1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s="27" customFormat="1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s="27" customFormat="1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s="27" customFormat="1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s="27" customFormat="1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s="27" customFormat="1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s="27" customFormat="1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s="27" customFormat="1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s="27" customFormat="1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s="27" customFormat="1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s="27" customFormat="1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s="27" customFormat="1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s="27" customFormat="1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s="27" customFormat="1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s="27" customFormat="1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s="27" customFormat="1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s="27" customFormat="1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s="27" customFormat="1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s="27" customFormat="1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s="27" customFormat="1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s="27" customFormat="1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s="27" customFormat="1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s="27" customFormat="1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s="27" customFormat="1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s="27" customFormat="1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s="27" customFormat="1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s="27" customFormat="1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s="27" customFormat="1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s="27" customFormat="1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s="27" customFormat="1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s="27" customFormat="1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s="27" customFormat="1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s="27" customFormat="1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s="27" customFormat="1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s="27" customFormat="1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s="27" customFormat="1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s="27" customFormat="1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s="27" customFormat="1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s="27" customFormat="1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s="27" customFormat="1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s="27" customFormat="1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s="27" customFormat="1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s="27" customFormat="1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s="27" customFormat="1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s="27" customFormat="1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s="27" customFormat="1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s="27" customFormat="1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s="27" customFormat="1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s="27" customFormat="1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s="27" customFormat="1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s="27" customFormat="1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s="27" customFormat="1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s="27" customFormat="1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s="27" customFormat="1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s="27" customFormat="1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s="27" customFormat="1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s="27" customFormat="1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s="27" customFormat="1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s="27" customFormat="1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s="27" customFormat="1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s="27" customFormat="1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s="27" customFormat="1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s="27" customFormat="1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s="27" customFormat="1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s="27" customFormat="1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s="27" customFormat="1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s="27" customFormat="1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s="27" customFormat="1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s="27" customFormat="1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s="27" customFormat="1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s="27" customFormat="1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s="27" customFormat="1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s="27" customFormat="1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s="27" customFormat="1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s="27" customFormat="1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s="27" customFormat="1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s="27" customFormat="1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s="27" customFormat="1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s="27" customFormat="1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s="27" customFormat="1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s="27" customFormat="1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s="27" customFormat="1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s="27" customFormat="1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s="27" customFormat="1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s="27" customFormat="1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s="27" customFormat="1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s="27" customFormat="1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s="27" customFormat="1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s="27" customFormat="1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s="27" customFormat="1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s="27" customFormat="1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s="27" customFormat="1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s="27" customFormat="1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s="27" customFormat="1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s="27" customFormat="1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s="27" customFormat="1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s="27" customFormat="1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s="27" customFormat="1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s="27" customFormat="1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s="27" customFormat="1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s="27" customFormat="1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s="27" customFormat="1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s="27" customFormat="1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s="27" customFormat="1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s="27" customFormat="1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s="27" customFormat="1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s="27" customFormat="1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s="27" customFormat="1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s="27" customFormat="1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s="27" customFormat="1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s="27" customFormat="1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s="27" customFormat="1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s="27" customFormat="1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s="27" customFormat="1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s="27" customFormat="1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s="27" customFormat="1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s="27" customFormat="1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s="27" customFormat="1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s="27" customFormat="1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s="27" customFormat="1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s="27" customFormat="1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s="27" customFormat="1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s="27" customFormat="1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s="27" customFormat="1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s="27" customFormat="1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s="27" customFormat="1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s="27" customFormat="1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s="27" customFormat="1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s="27" customFormat="1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s="27" customFormat="1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s="27" customFormat="1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s="27" customFormat="1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s="27" customFormat="1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s="27" customFormat="1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s="27" customFormat="1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s="27" customFormat="1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s="27" customFormat="1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s="27" customFormat="1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s="27" customFormat="1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s="27" customFormat="1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s="27" customFormat="1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s="27" customFormat="1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s="27" customFormat="1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s="27" customFormat="1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s="27" customFormat="1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s="27" customFormat="1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s="27" customFormat="1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s="27" customFormat="1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s="27" customFormat="1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s="27" customFormat="1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s="27" customFormat="1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s="27" customFormat="1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s="27" customFormat="1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s="27" customFormat="1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s="27" customFormat="1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s="27" customFormat="1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s="27" customFormat="1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s="27" customFormat="1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s="27" customFormat="1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s="27" customFormat="1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s="27" customFormat="1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s="27" customFormat="1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s="27" customFormat="1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s="27" customFormat="1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s="27" customFormat="1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s="27" customFormat="1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s="27" customFormat="1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s="27" customFormat="1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s="27" customFormat="1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s="27" customFormat="1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s="27" customFormat="1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s="27" customFormat="1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s="27" customFormat="1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s="27" customFormat="1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s="27" customFormat="1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s="27" customFormat="1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s="27" customFormat="1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s="27" customFormat="1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s="27" customFormat="1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s="27" customFormat="1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s="27" customFormat="1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s="27" customFormat="1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s="27" customFormat="1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s="27" customFormat="1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s="27" customFormat="1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s="27" customFormat="1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s="27" customFormat="1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s="27" customFormat="1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s="27" customFormat="1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s="27" customFormat="1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s="27" customFormat="1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s="27" customFormat="1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s="27" customFormat="1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s="27" customFormat="1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s="27" customFormat="1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s="27" customFormat="1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s="27" customFormat="1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s="27" customFormat="1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s="27" customFormat="1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s="27" customFormat="1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s="27" customFormat="1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s="27" customFormat="1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s="27" customFormat="1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s="27" customFormat="1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s="27" customFormat="1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s="27" customFormat="1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s="27" customFormat="1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s="27" customFormat="1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s="27" customFormat="1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s="27" customFormat="1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s="27" customFormat="1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s="27" customFormat="1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s="27" customFormat="1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s="27" customFormat="1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s="27" customFormat="1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s="27" customFormat="1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s="27" customFormat="1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s="27" customFormat="1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s="27" customFormat="1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s="27" customFormat="1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s="27" customFormat="1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s="27" customFormat="1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s="27" customFormat="1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s="27" customFormat="1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s="27" customFormat="1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s="27" customFormat="1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s="27" customFormat="1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s="27" customFormat="1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s="27" customFormat="1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s="27" customFormat="1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s="27" customFormat="1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s="27" customFormat="1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s="27" customFormat="1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s="27" customFormat="1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s="27" customFormat="1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s="27" customFormat="1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s="27" customFormat="1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s="27" customFormat="1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s="27" customFormat="1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s="27" customFormat="1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s="27" customFormat="1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s="27" customFormat="1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s="27" customFormat="1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s="27" customFormat="1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s="27" customFormat="1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s="27" customFormat="1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s="27" customFormat="1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s="27" customFormat="1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s="27" customFormat="1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s="27" customFormat="1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s="27" customFormat="1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s="27" customFormat="1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s="27" customFormat="1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s="27" customFormat="1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s="27" customFormat="1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s="27" customFormat="1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s="27" customFormat="1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s="27" customFormat="1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s="27" customFormat="1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s="27" customFormat="1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s="27" customFormat="1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s="27" customFormat="1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s="27" customFormat="1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s="27" customFormat="1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s="27" customFormat="1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s="27" customFormat="1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s="27" customFormat="1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s="27" customFormat="1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s="27" customFormat="1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s="27" customFormat="1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s="27" customFormat="1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s="27" customFormat="1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s="27" customFormat="1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s="27" customFormat="1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s="27" customFormat="1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12" workbookViewId="0">
      <selection activeCell="A32" sqref="A32:D32"/>
    </sheetView>
  </sheetViews>
  <sheetFormatPr defaultColWidth="14.42578125" defaultRowHeight="12.75" x14ac:dyDescent="0.2"/>
  <cols>
    <col min="1" max="1" width="28" style="27" customWidth="1"/>
    <col min="2" max="2" width="55" style="27" customWidth="1"/>
    <col min="3" max="3" width="30" style="27" customWidth="1"/>
    <col min="4" max="4" width="35" style="27" customWidth="1"/>
    <col min="5" max="26" width="8.7109375" style="27" customWidth="1"/>
  </cols>
  <sheetData>
    <row r="1" spans="1:4" s="27" customFormat="1" ht="27.75" customHeight="1" x14ac:dyDescent="0.2">
      <c r="A1" s="77" t="s">
        <v>0</v>
      </c>
      <c r="B1" s="76"/>
      <c r="C1" s="76"/>
      <c r="D1" s="76"/>
    </row>
    <row r="2" spans="1:4" s="27" customFormat="1" ht="60" customHeight="1" x14ac:dyDescent="0.2">
      <c r="A2" s="9" t="s">
        <v>1</v>
      </c>
      <c r="B2" s="75"/>
      <c r="C2" s="76"/>
      <c r="D2" s="76"/>
    </row>
    <row r="3" spans="1:4" s="27" customFormat="1" ht="75" customHeight="1" x14ac:dyDescent="0.2">
      <c r="A3" s="9" t="s">
        <v>2</v>
      </c>
      <c r="B3" s="75"/>
      <c r="C3" s="76"/>
      <c r="D3" s="76"/>
    </row>
    <row r="4" spans="1:4" s="27" customFormat="1" ht="75" customHeight="1" x14ac:dyDescent="0.2">
      <c r="A4" s="9" t="s">
        <v>3</v>
      </c>
      <c r="B4" s="75"/>
      <c r="C4" s="76"/>
      <c r="D4" s="76"/>
    </row>
    <row r="5" spans="1:4" s="27" customFormat="1" ht="12.75" customHeight="1" x14ac:dyDescent="0.2">
      <c r="A5" s="2"/>
      <c r="B5" s="2"/>
      <c r="C5" s="2"/>
      <c r="D5" s="2"/>
    </row>
    <row r="6" spans="1:4" s="27" customFormat="1" ht="24" customHeight="1" x14ac:dyDescent="0.2">
      <c r="A6" s="78" t="s">
        <v>4</v>
      </c>
      <c r="B6" s="76"/>
      <c r="C6" s="76"/>
      <c r="D6" s="76"/>
    </row>
    <row r="7" spans="1:4" s="27" customFormat="1" ht="19.5" customHeight="1" x14ac:dyDescent="0.2">
      <c r="A7" s="11" t="s">
        <v>5</v>
      </c>
      <c r="B7" s="11" t="s">
        <v>6</v>
      </c>
      <c r="C7" s="11" t="s">
        <v>7</v>
      </c>
      <c r="D7" s="11" t="s">
        <v>8</v>
      </c>
    </row>
    <row r="8" spans="1:4" s="27" customFormat="1" ht="60" customHeight="1" x14ac:dyDescent="0.2">
      <c r="A8" s="12"/>
      <c r="B8" s="13"/>
      <c r="C8" s="13"/>
      <c r="D8" s="13"/>
    </row>
    <row r="9" spans="1:4" s="27" customFormat="1" ht="60" customHeight="1" x14ac:dyDescent="0.2">
      <c r="A9" s="14"/>
      <c r="B9" s="10"/>
      <c r="C9" s="10"/>
      <c r="D9" s="10"/>
    </row>
    <row r="10" spans="1:4" s="27" customFormat="1" ht="60" customHeight="1" x14ac:dyDescent="0.2">
      <c r="A10" s="12"/>
      <c r="B10" s="13"/>
      <c r="C10" s="13"/>
      <c r="D10" s="13"/>
    </row>
    <row r="11" spans="1:4" s="27" customFormat="1" ht="60" customHeight="1" x14ac:dyDescent="0.2">
      <c r="A11" s="14"/>
      <c r="B11" s="10"/>
      <c r="C11" s="10"/>
      <c r="D11" s="10"/>
    </row>
    <row r="12" spans="1:4" s="27" customFormat="1" ht="60" customHeight="1" x14ac:dyDescent="0.2">
      <c r="A12" s="12"/>
      <c r="B12" s="13"/>
      <c r="C12" s="13"/>
      <c r="D12" s="13"/>
    </row>
    <row r="13" spans="1:4" s="27" customFormat="1" ht="60" customHeight="1" x14ac:dyDescent="0.2">
      <c r="A13" s="14"/>
      <c r="B13" s="10"/>
      <c r="C13" s="10"/>
      <c r="D13" s="10"/>
    </row>
    <row r="14" spans="1:4" s="27" customFormat="1" ht="12.75" customHeight="1" x14ac:dyDescent="0.2">
      <c r="A14" s="2"/>
      <c r="B14" s="2"/>
      <c r="C14" s="2"/>
      <c r="D14" s="2"/>
    </row>
    <row r="15" spans="1:4" s="27" customFormat="1" ht="24" customHeight="1" x14ac:dyDescent="0.2">
      <c r="A15" s="78" t="s">
        <v>9</v>
      </c>
      <c r="B15" s="76"/>
      <c r="C15" s="76"/>
      <c r="D15" s="76"/>
    </row>
    <row r="16" spans="1:4" s="27" customFormat="1" ht="19.5" customHeight="1" x14ac:dyDescent="0.2">
      <c r="A16" s="11" t="s">
        <v>10</v>
      </c>
      <c r="B16" s="11" t="s">
        <v>11</v>
      </c>
      <c r="C16" s="11" t="s">
        <v>12</v>
      </c>
      <c r="D16" s="11" t="s">
        <v>13</v>
      </c>
    </row>
    <row r="17" spans="1:4" s="27" customFormat="1" ht="69.75" customHeight="1" x14ac:dyDescent="0.2">
      <c r="A17" s="12"/>
      <c r="B17" s="15"/>
      <c r="C17" s="15"/>
      <c r="D17" s="13"/>
    </row>
    <row r="18" spans="1:4" s="27" customFormat="1" ht="84.75" customHeight="1" x14ac:dyDescent="0.2">
      <c r="A18" s="14"/>
      <c r="B18" s="16"/>
      <c r="C18" s="16"/>
      <c r="D18" s="10"/>
    </row>
    <row r="19" spans="1:4" s="27" customFormat="1" ht="94.5" customHeight="1" x14ac:dyDescent="0.2">
      <c r="A19" s="12"/>
      <c r="B19" s="15"/>
      <c r="C19" s="15"/>
      <c r="D19" s="13"/>
    </row>
    <row r="20" spans="1:4" s="27" customFormat="1" ht="84.75" customHeight="1" x14ac:dyDescent="0.2">
      <c r="A20" s="14"/>
      <c r="B20" s="16"/>
      <c r="C20" s="16"/>
      <c r="D20" s="10"/>
    </row>
    <row r="21" spans="1:4" s="27" customFormat="1" ht="94.5" customHeight="1" x14ac:dyDescent="0.2">
      <c r="A21" s="12"/>
      <c r="B21" s="15"/>
      <c r="C21" s="15"/>
      <c r="D21" s="13"/>
    </row>
    <row r="22" spans="1:4" s="27" customFormat="1" ht="84.75" customHeight="1" x14ac:dyDescent="0.2">
      <c r="A22" s="14"/>
      <c r="B22" s="16"/>
      <c r="C22" s="16"/>
      <c r="D22" s="10"/>
    </row>
    <row r="23" spans="1:4" s="27" customFormat="1" ht="94.5" customHeight="1" x14ac:dyDescent="0.2">
      <c r="A23" s="12"/>
      <c r="B23" s="15"/>
      <c r="C23" s="15"/>
      <c r="D23" s="13"/>
    </row>
    <row r="24" spans="1:4" s="27" customFormat="1" ht="94.5" customHeight="1" x14ac:dyDescent="0.2">
      <c r="A24" s="14"/>
      <c r="B24" s="16"/>
      <c r="C24" s="16"/>
      <c r="D24" s="10"/>
    </row>
    <row r="25" spans="1:4" s="27" customFormat="1" ht="84.75" customHeight="1" x14ac:dyDescent="0.2">
      <c r="A25" s="12"/>
      <c r="B25" s="15"/>
      <c r="C25" s="15"/>
      <c r="D25" s="13"/>
    </row>
    <row r="26" spans="1:4" s="27" customFormat="1" ht="94.5" customHeight="1" x14ac:dyDescent="0.2">
      <c r="A26" s="14"/>
      <c r="B26" s="16"/>
      <c r="C26" s="16"/>
      <c r="D26" s="10"/>
    </row>
    <row r="27" spans="1:4" s="27" customFormat="1" ht="94.5" customHeight="1" x14ac:dyDescent="0.2">
      <c r="A27" s="12"/>
      <c r="B27" s="15"/>
      <c r="C27" s="15"/>
      <c r="D27" s="13"/>
    </row>
    <row r="28" spans="1:4" s="27" customFormat="1" ht="94.5" customHeight="1" x14ac:dyDescent="0.2">
      <c r="A28" s="14"/>
      <c r="B28" s="16"/>
      <c r="C28" s="16"/>
      <c r="D28" s="10"/>
    </row>
    <row r="29" spans="1:4" s="27" customFormat="1" ht="94.5" customHeight="1" x14ac:dyDescent="0.2">
      <c r="A29" s="12"/>
      <c r="B29" s="15"/>
      <c r="C29" s="15"/>
      <c r="D29" s="13"/>
    </row>
    <row r="30" spans="1:4" s="27" customFormat="1" ht="12.75" customHeight="1" x14ac:dyDescent="0.2">
      <c r="A30" s="2"/>
      <c r="B30" s="2"/>
      <c r="C30" s="2"/>
      <c r="D30" s="2"/>
    </row>
    <row r="31" spans="1:4" s="27" customFormat="1" ht="21.75" customHeight="1" x14ac:dyDescent="0.2">
      <c r="A31" s="78" t="s">
        <v>14</v>
      </c>
      <c r="B31" s="76"/>
      <c r="C31" s="76"/>
      <c r="D31" s="76"/>
    </row>
    <row r="32" spans="1:4" s="27" customFormat="1" ht="91.5" customHeight="1" x14ac:dyDescent="0.2">
      <c r="A32" s="75"/>
      <c r="B32" s="76"/>
      <c r="C32" s="76"/>
      <c r="D32" s="76"/>
    </row>
    <row r="33" spans="1:4" s="27" customFormat="1" ht="12.75" customHeight="1" x14ac:dyDescent="0.2">
      <c r="A33" s="2"/>
      <c r="B33" s="2"/>
      <c r="C33" s="2"/>
      <c r="D33" s="2"/>
    </row>
    <row r="34" spans="1:4" s="27" customFormat="1" ht="12.75" customHeight="1" x14ac:dyDescent="0.2">
      <c r="A34" s="2"/>
      <c r="B34" s="2"/>
      <c r="C34" s="2"/>
      <c r="D34" s="2"/>
    </row>
    <row r="35" spans="1:4" s="27" customFormat="1" ht="12.75" customHeight="1" x14ac:dyDescent="0.2">
      <c r="A35" s="2"/>
      <c r="B35" s="2"/>
      <c r="C35" s="2"/>
      <c r="D35" s="2"/>
    </row>
    <row r="36" spans="1:4" s="27" customFormat="1" ht="12.75" customHeight="1" x14ac:dyDescent="0.2">
      <c r="A36" s="2"/>
      <c r="B36" s="2"/>
      <c r="C36" s="2"/>
      <c r="D36" s="2"/>
    </row>
    <row r="37" spans="1:4" s="27" customFormat="1" ht="12.75" customHeight="1" x14ac:dyDescent="0.2">
      <c r="A37" s="2"/>
      <c r="B37" s="2"/>
      <c r="C37" s="2"/>
      <c r="D37" s="2"/>
    </row>
    <row r="38" spans="1:4" s="27" customFormat="1" ht="12.75" customHeight="1" x14ac:dyDescent="0.2">
      <c r="A38" s="2"/>
      <c r="B38" s="2"/>
      <c r="C38" s="2"/>
      <c r="D38" s="2"/>
    </row>
    <row r="39" spans="1:4" s="27" customFormat="1" ht="12.75" customHeight="1" x14ac:dyDescent="0.2">
      <c r="A39" s="2"/>
      <c r="B39" s="2"/>
      <c r="C39" s="2"/>
      <c r="D39" s="2"/>
    </row>
    <row r="40" spans="1:4" s="27" customFormat="1" ht="12.75" customHeight="1" x14ac:dyDescent="0.2">
      <c r="A40" s="2"/>
      <c r="B40" s="2"/>
      <c r="C40" s="2"/>
      <c r="D40" s="2"/>
    </row>
    <row r="41" spans="1:4" s="27" customFormat="1" ht="12.75" customHeight="1" x14ac:dyDescent="0.2">
      <c r="A41" s="2"/>
      <c r="B41" s="2"/>
      <c r="C41" s="2"/>
      <c r="D41" s="2"/>
    </row>
    <row r="42" spans="1:4" s="27" customFormat="1" ht="12.75" customHeight="1" x14ac:dyDescent="0.2">
      <c r="A42" s="2"/>
      <c r="B42" s="2"/>
      <c r="C42" s="2"/>
      <c r="D42" s="2"/>
    </row>
    <row r="43" spans="1:4" s="27" customFormat="1" ht="12.75" customHeight="1" x14ac:dyDescent="0.2">
      <c r="A43" s="2"/>
      <c r="B43" s="2"/>
      <c r="C43" s="2"/>
      <c r="D43" s="2"/>
    </row>
    <row r="44" spans="1:4" s="27" customFormat="1" ht="12.75" customHeight="1" x14ac:dyDescent="0.2">
      <c r="A44" s="2"/>
      <c r="B44" s="2"/>
      <c r="C44" s="2"/>
      <c r="D44" s="2"/>
    </row>
    <row r="45" spans="1:4" s="27" customFormat="1" ht="12.75" customHeight="1" x14ac:dyDescent="0.2">
      <c r="A45" s="2"/>
      <c r="B45" s="2"/>
      <c r="C45" s="2"/>
      <c r="D45" s="2"/>
    </row>
    <row r="46" spans="1:4" s="27" customFormat="1" ht="12.75" customHeight="1" x14ac:dyDescent="0.2">
      <c r="A46" s="2"/>
      <c r="B46" s="2"/>
      <c r="C46" s="2"/>
      <c r="D46" s="2"/>
    </row>
    <row r="47" spans="1:4" s="27" customFormat="1" ht="12.75" customHeight="1" x14ac:dyDescent="0.2">
      <c r="A47" s="2"/>
      <c r="B47" s="2"/>
      <c r="C47" s="2"/>
      <c r="D47" s="2"/>
    </row>
    <row r="48" spans="1:4" s="27" customFormat="1" ht="12.75" customHeight="1" x14ac:dyDescent="0.2">
      <c r="A48" s="2"/>
      <c r="B48" s="2"/>
      <c r="C48" s="2"/>
      <c r="D48" s="2"/>
    </row>
    <row r="49" spans="1:4" s="27" customFormat="1" ht="12.75" customHeight="1" x14ac:dyDescent="0.2">
      <c r="A49" s="2"/>
      <c r="B49" s="2"/>
      <c r="C49" s="2"/>
      <c r="D49" s="2"/>
    </row>
    <row r="50" spans="1:4" s="27" customFormat="1" ht="12.75" customHeight="1" x14ac:dyDescent="0.2">
      <c r="A50" s="2"/>
      <c r="B50" s="2"/>
      <c r="C50" s="2"/>
      <c r="D50" s="2"/>
    </row>
    <row r="51" spans="1:4" s="27" customFormat="1" ht="12.75" customHeight="1" x14ac:dyDescent="0.2">
      <c r="A51" s="2"/>
      <c r="B51" s="2"/>
      <c r="C51" s="2"/>
      <c r="D51" s="2"/>
    </row>
    <row r="52" spans="1:4" s="27" customFormat="1" ht="12.75" customHeight="1" x14ac:dyDescent="0.2">
      <c r="A52" s="2"/>
      <c r="B52" s="2"/>
      <c r="C52" s="2"/>
      <c r="D52" s="2"/>
    </row>
    <row r="53" spans="1:4" s="27" customFormat="1" ht="12.75" customHeight="1" x14ac:dyDescent="0.2">
      <c r="A53" s="2"/>
      <c r="B53" s="2"/>
      <c r="C53" s="2"/>
      <c r="D53" s="2"/>
    </row>
    <row r="54" spans="1:4" s="27" customFormat="1" ht="12.75" customHeight="1" x14ac:dyDescent="0.2">
      <c r="A54" s="2"/>
      <c r="B54" s="2"/>
      <c r="C54" s="2"/>
      <c r="D54" s="2"/>
    </row>
    <row r="55" spans="1:4" s="27" customFormat="1" ht="12.75" customHeight="1" x14ac:dyDescent="0.2">
      <c r="A55" s="2"/>
      <c r="B55" s="2"/>
      <c r="C55" s="2"/>
      <c r="D55" s="2"/>
    </row>
    <row r="56" spans="1:4" s="27" customFormat="1" ht="12.75" customHeight="1" x14ac:dyDescent="0.2">
      <c r="A56" s="2"/>
      <c r="B56" s="2"/>
      <c r="C56" s="2"/>
      <c r="D56" s="2"/>
    </row>
    <row r="57" spans="1:4" s="27" customFormat="1" ht="12.75" customHeight="1" x14ac:dyDescent="0.2">
      <c r="A57" s="2"/>
      <c r="B57" s="2"/>
      <c r="C57" s="2"/>
      <c r="D57" s="2"/>
    </row>
    <row r="58" spans="1:4" s="27" customFormat="1" ht="12.75" customHeight="1" x14ac:dyDescent="0.2">
      <c r="A58" s="2"/>
      <c r="B58" s="2"/>
      <c r="C58" s="2"/>
      <c r="D58" s="2"/>
    </row>
    <row r="59" spans="1:4" s="27" customFormat="1" ht="12.75" customHeight="1" x14ac:dyDescent="0.2">
      <c r="A59" s="2"/>
      <c r="B59" s="2"/>
      <c r="C59" s="2"/>
      <c r="D59" s="2"/>
    </row>
    <row r="60" spans="1:4" s="27" customFormat="1" ht="12.75" customHeight="1" x14ac:dyDescent="0.2">
      <c r="A60" s="2"/>
      <c r="B60" s="2"/>
      <c r="C60" s="2"/>
      <c r="D60" s="2"/>
    </row>
    <row r="61" spans="1:4" s="27" customFormat="1" ht="12.75" customHeight="1" x14ac:dyDescent="0.2">
      <c r="A61" s="2"/>
      <c r="B61" s="2"/>
      <c r="C61" s="2"/>
      <c r="D61" s="2"/>
    </row>
    <row r="62" spans="1:4" s="27" customFormat="1" ht="12.75" customHeight="1" x14ac:dyDescent="0.2">
      <c r="A62" s="2"/>
      <c r="B62" s="2"/>
      <c r="C62" s="2"/>
      <c r="D62" s="2"/>
    </row>
    <row r="63" spans="1:4" s="27" customFormat="1" ht="12.75" customHeight="1" x14ac:dyDescent="0.2">
      <c r="A63" s="2"/>
      <c r="B63" s="2"/>
      <c r="C63" s="2"/>
      <c r="D63" s="2"/>
    </row>
    <row r="64" spans="1:4" s="27" customFormat="1" ht="12.75" customHeight="1" x14ac:dyDescent="0.2">
      <c r="A64" s="2"/>
      <c r="B64" s="2"/>
      <c r="C64" s="2"/>
      <c r="D64" s="2"/>
    </row>
    <row r="65" spans="1:4" s="27" customFormat="1" ht="12.75" customHeight="1" x14ac:dyDescent="0.2">
      <c r="A65" s="2"/>
      <c r="B65" s="2"/>
      <c r="C65" s="2"/>
      <c r="D65" s="2"/>
    </row>
    <row r="66" spans="1:4" s="27" customFormat="1" ht="12.75" customHeight="1" x14ac:dyDescent="0.2">
      <c r="A66" s="2"/>
      <c r="B66" s="2"/>
      <c r="C66" s="2"/>
      <c r="D66" s="2"/>
    </row>
    <row r="67" spans="1:4" s="27" customFormat="1" ht="12.75" customHeight="1" x14ac:dyDescent="0.2">
      <c r="A67" s="2"/>
      <c r="B67" s="2"/>
      <c r="C67" s="2"/>
      <c r="D67" s="2"/>
    </row>
    <row r="68" spans="1:4" s="27" customFormat="1" ht="12.75" customHeight="1" x14ac:dyDescent="0.2">
      <c r="A68" s="2"/>
      <c r="B68" s="2"/>
      <c r="C68" s="2"/>
      <c r="D68" s="2"/>
    </row>
    <row r="69" spans="1:4" s="27" customFormat="1" ht="12.75" customHeight="1" x14ac:dyDescent="0.2">
      <c r="A69" s="2"/>
      <c r="B69" s="2"/>
      <c r="C69" s="2"/>
      <c r="D69" s="2"/>
    </row>
    <row r="70" spans="1:4" s="27" customFormat="1" ht="12.75" customHeight="1" x14ac:dyDescent="0.2">
      <c r="A70" s="2"/>
      <c r="B70" s="2"/>
      <c r="C70" s="2"/>
      <c r="D70" s="2"/>
    </row>
    <row r="71" spans="1:4" s="27" customFormat="1" ht="12.75" customHeight="1" x14ac:dyDescent="0.2">
      <c r="A71" s="2"/>
      <c r="B71" s="2"/>
      <c r="C71" s="2"/>
      <c r="D71" s="2"/>
    </row>
    <row r="72" spans="1:4" s="27" customFormat="1" ht="12.75" customHeight="1" x14ac:dyDescent="0.2">
      <c r="A72" s="2"/>
      <c r="B72" s="2"/>
      <c r="C72" s="2"/>
      <c r="D72" s="2"/>
    </row>
    <row r="73" spans="1:4" s="27" customFormat="1" ht="12.75" customHeight="1" x14ac:dyDescent="0.2">
      <c r="A73" s="2"/>
      <c r="B73" s="2"/>
      <c r="C73" s="2"/>
      <c r="D73" s="2"/>
    </row>
    <row r="74" spans="1:4" s="27" customFormat="1" ht="12.75" customHeight="1" x14ac:dyDescent="0.2">
      <c r="A74" s="2"/>
      <c r="B74" s="2"/>
      <c r="C74" s="2"/>
      <c r="D74" s="2"/>
    </row>
    <row r="75" spans="1:4" s="27" customFormat="1" ht="12.75" customHeight="1" x14ac:dyDescent="0.2">
      <c r="A75" s="2"/>
      <c r="B75" s="2"/>
      <c r="C75" s="2"/>
      <c r="D75" s="2"/>
    </row>
    <row r="76" spans="1:4" s="27" customFormat="1" ht="12.75" customHeight="1" x14ac:dyDescent="0.2">
      <c r="A76" s="2"/>
      <c r="B76" s="2"/>
      <c r="C76" s="2"/>
      <c r="D76" s="2"/>
    </row>
    <row r="77" spans="1:4" s="27" customFormat="1" ht="12.75" customHeight="1" x14ac:dyDescent="0.2">
      <c r="A77" s="2"/>
      <c r="B77" s="2"/>
      <c r="C77" s="2"/>
      <c r="D77" s="2"/>
    </row>
    <row r="78" spans="1:4" s="27" customFormat="1" ht="12.75" customHeight="1" x14ac:dyDescent="0.2">
      <c r="A78" s="2"/>
      <c r="B78" s="2"/>
      <c r="C78" s="2"/>
      <c r="D78" s="2"/>
    </row>
    <row r="79" spans="1:4" s="27" customFormat="1" ht="12.75" customHeight="1" x14ac:dyDescent="0.2">
      <c r="A79" s="2"/>
      <c r="B79" s="2"/>
      <c r="C79" s="2"/>
      <c r="D79" s="2"/>
    </row>
    <row r="80" spans="1:4" s="27" customFormat="1" ht="12.75" customHeight="1" x14ac:dyDescent="0.2">
      <c r="A80" s="2"/>
      <c r="B80" s="2"/>
      <c r="C80" s="2"/>
      <c r="D80" s="2"/>
    </row>
    <row r="81" spans="1:4" s="27" customFormat="1" ht="12.75" customHeight="1" x14ac:dyDescent="0.2">
      <c r="A81" s="2"/>
      <c r="B81" s="2"/>
      <c r="C81" s="2"/>
      <c r="D81" s="2"/>
    </row>
    <row r="82" spans="1:4" s="27" customFormat="1" ht="12.75" customHeight="1" x14ac:dyDescent="0.2">
      <c r="A82" s="2"/>
      <c r="B82" s="2"/>
      <c r="C82" s="2"/>
      <c r="D82" s="2"/>
    </row>
    <row r="83" spans="1:4" s="27" customFormat="1" ht="12.75" customHeight="1" x14ac:dyDescent="0.2">
      <c r="A83" s="2"/>
      <c r="B83" s="2"/>
      <c r="C83" s="2"/>
      <c r="D83" s="2"/>
    </row>
    <row r="84" spans="1:4" s="27" customFormat="1" ht="12.75" customHeight="1" x14ac:dyDescent="0.2">
      <c r="A84" s="2"/>
      <c r="B84" s="2"/>
      <c r="C84" s="2"/>
      <c r="D84" s="2"/>
    </row>
    <row r="85" spans="1:4" s="27" customFormat="1" ht="12.75" customHeight="1" x14ac:dyDescent="0.2">
      <c r="A85" s="2"/>
      <c r="B85" s="2"/>
      <c r="C85" s="2"/>
      <c r="D85" s="2"/>
    </row>
    <row r="86" spans="1:4" s="27" customFormat="1" ht="12.75" customHeight="1" x14ac:dyDescent="0.2">
      <c r="A86" s="2"/>
      <c r="B86" s="2"/>
      <c r="C86" s="2"/>
      <c r="D86" s="2"/>
    </row>
    <row r="87" spans="1:4" s="27" customFormat="1" ht="12.75" customHeight="1" x14ac:dyDescent="0.2">
      <c r="A87" s="2"/>
      <c r="B87" s="2"/>
      <c r="C87" s="2"/>
      <c r="D87" s="2"/>
    </row>
    <row r="88" spans="1:4" s="27" customFormat="1" ht="12.75" customHeight="1" x14ac:dyDescent="0.2">
      <c r="A88" s="2"/>
      <c r="B88" s="2"/>
      <c r="C88" s="2"/>
      <c r="D88" s="2"/>
    </row>
    <row r="89" spans="1:4" s="27" customFormat="1" ht="12.75" customHeight="1" x14ac:dyDescent="0.2">
      <c r="A89" s="2"/>
      <c r="B89" s="2"/>
      <c r="C89" s="2"/>
      <c r="D89" s="2"/>
    </row>
    <row r="90" spans="1:4" s="27" customFormat="1" ht="12.75" customHeight="1" x14ac:dyDescent="0.2">
      <c r="A90" s="2"/>
      <c r="B90" s="2"/>
      <c r="C90" s="2"/>
      <c r="D90" s="2"/>
    </row>
    <row r="91" spans="1:4" s="27" customFormat="1" ht="12.75" customHeight="1" x14ac:dyDescent="0.2">
      <c r="A91" s="2"/>
      <c r="B91" s="2"/>
      <c r="C91" s="2"/>
      <c r="D91" s="2"/>
    </row>
    <row r="92" spans="1:4" s="27" customFormat="1" ht="12.75" customHeight="1" x14ac:dyDescent="0.2">
      <c r="A92" s="2"/>
      <c r="B92" s="2"/>
      <c r="C92" s="2"/>
      <c r="D92" s="2"/>
    </row>
    <row r="93" spans="1:4" s="27" customFormat="1" ht="12.75" customHeight="1" x14ac:dyDescent="0.2">
      <c r="A93" s="2"/>
      <c r="B93" s="2"/>
      <c r="C93" s="2"/>
      <c r="D93" s="2"/>
    </row>
    <row r="94" spans="1:4" s="27" customFormat="1" ht="12.75" customHeight="1" x14ac:dyDescent="0.2">
      <c r="A94" s="2"/>
      <c r="B94" s="2"/>
      <c r="C94" s="2"/>
      <c r="D94" s="2"/>
    </row>
    <row r="95" spans="1:4" s="27" customFormat="1" ht="12.75" customHeight="1" x14ac:dyDescent="0.2">
      <c r="A95" s="2"/>
      <c r="B95" s="2"/>
      <c r="C95" s="2"/>
      <c r="D95" s="2"/>
    </row>
    <row r="96" spans="1:4" s="27" customFormat="1" ht="12.75" customHeight="1" x14ac:dyDescent="0.2">
      <c r="A96" s="2"/>
      <c r="B96" s="2"/>
      <c r="C96" s="2"/>
      <c r="D96" s="2"/>
    </row>
    <row r="97" spans="1:4" s="27" customFormat="1" ht="12.75" customHeight="1" x14ac:dyDescent="0.2">
      <c r="A97" s="2"/>
      <c r="B97" s="2"/>
      <c r="C97" s="2"/>
      <c r="D97" s="2"/>
    </row>
    <row r="98" spans="1:4" s="27" customFormat="1" ht="12.75" customHeight="1" x14ac:dyDescent="0.2">
      <c r="A98" s="2"/>
      <c r="B98" s="2"/>
      <c r="C98" s="2"/>
      <c r="D98" s="2"/>
    </row>
    <row r="99" spans="1:4" s="27" customFormat="1" ht="12.75" customHeight="1" x14ac:dyDescent="0.2">
      <c r="A99" s="2"/>
      <c r="B99" s="2"/>
      <c r="C99" s="2"/>
      <c r="D99" s="2"/>
    </row>
    <row r="100" spans="1:4" s="27" customFormat="1" ht="12.75" customHeight="1" x14ac:dyDescent="0.2">
      <c r="A100" s="2"/>
      <c r="B100" s="2"/>
      <c r="C100" s="2"/>
      <c r="D100" s="2"/>
    </row>
    <row r="101" spans="1:4" s="27" customFormat="1" ht="12.75" customHeight="1" x14ac:dyDescent="0.2">
      <c r="A101" s="2"/>
      <c r="B101" s="2"/>
      <c r="C101" s="2"/>
      <c r="D101" s="2"/>
    </row>
    <row r="102" spans="1:4" s="27" customFormat="1" ht="12.75" customHeight="1" x14ac:dyDescent="0.2">
      <c r="A102" s="2"/>
      <c r="B102" s="2"/>
      <c r="C102" s="2"/>
      <c r="D102" s="2"/>
    </row>
    <row r="103" spans="1:4" s="27" customFormat="1" ht="12.75" customHeight="1" x14ac:dyDescent="0.2">
      <c r="A103" s="2"/>
      <c r="B103" s="2"/>
      <c r="C103" s="2"/>
      <c r="D103" s="2"/>
    </row>
    <row r="104" spans="1:4" s="27" customFormat="1" ht="12.75" customHeight="1" x14ac:dyDescent="0.2">
      <c r="A104" s="2"/>
      <c r="B104" s="2"/>
      <c r="C104" s="2"/>
      <c r="D104" s="2"/>
    </row>
    <row r="105" spans="1:4" s="27" customFormat="1" ht="12.75" customHeight="1" x14ac:dyDescent="0.2">
      <c r="A105" s="2"/>
      <c r="B105" s="2"/>
      <c r="C105" s="2"/>
      <c r="D105" s="2"/>
    </row>
    <row r="106" spans="1:4" s="27" customFormat="1" ht="12.75" customHeight="1" x14ac:dyDescent="0.2">
      <c r="A106" s="2"/>
      <c r="B106" s="2"/>
      <c r="C106" s="2"/>
      <c r="D106" s="2"/>
    </row>
    <row r="107" spans="1:4" s="27" customFormat="1" ht="12.75" customHeight="1" x14ac:dyDescent="0.2">
      <c r="A107" s="2"/>
      <c r="B107" s="2"/>
      <c r="C107" s="2"/>
      <c r="D107" s="2"/>
    </row>
    <row r="108" spans="1:4" s="27" customFormat="1" ht="12.75" customHeight="1" x14ac:dyDescent="0.2">
      <c r="A108" s="2"/>
      <c r="B108" s="2"/>
      <c r="C108" s="2"/>
      <c r="D108" s="2"/>
    </row>
    <row r="109" spans="1:4" s="27" customFormat="1" ht="12.75" customHeight="1" x14ac:dyDescent="0.2">
      <c r="A109" s="2"/>
      <c r="B109" s="2"/>
      <c r="C109" s="2"/>
      <c r="D109" s="2"/>
    </row>
    <row r="110" spans="1:4" s="27" customFormat="1" ht="12.75" customHeight="1" x14ac:dyDescent="0.2">
      <c r="A110" s="2"/>
      <c r="B110" s="2"/>
      <c r="C110" s="2"/>
      <c r="D110" s="2"/>
    </row>
    <row r="111" spans="1:4" s="27" customFormat="1" ht="12.75" customHeight="1" x14ac:dyDescent="0.2">
      <c r="A111" s="2"/>
      <c r="B111" s="2"/>
      <c r="C111" s="2"/>
      <c r="D111" s="2"/>
    </row>
    <row r="112" spans="1:4" s="27" customFormat="1" ht="12.75" customHeight="1" x14ac:dyDescent="0.2">
      <c r="A112" s="2"/>
      <c r="B112" s="2"/>
      <c r="C112" s="2"/>
      <c r="D112" s="2"/>
    </row>
    <row r="113" spans="1:4" s="27" customFormat="1" ht="12.75" customHeight="1" x14ac:dyDescent="0.2">
      <c r="A113" s="2"/>
      <c r="B113" s="2"/>
      <c r="C113" s="2"/>
      <c r="D113" s="2"/>
    </row>
    <row r="114" spans="1:4" s="27" customFormat="1" ht="12.75" customHeight="1" x14ac:dyDescent="0.2">
      <c r="A114" s="2"/>
      <c r="B114" s="2"/>
      <c r="C114" s="2"/>
      <c r="D114" s="2"/>
    </row>
    <row r="115" spans="1:4" s="27" customFormat="1" ht="12.75" customHeight="1" x14ac:dyDescent="0.2">
      <c r="A115" s="2"/>
      <c r="B115" s="2"/>
      <c r="C115" s="2"/>
      <c r="D115" s="2"/>
    </row>
    <row r="116" spans="1:4" s="27" customFormat="1" ht="12.75" customHeight="1" x14ac:dyDescent="0.2">
      <c r="A116" s="2"/>
      <c r="B116" s="2"/>
      <c r="C116" s="2"/>
      <c r="D116" s="2"/>
    </row>
    <row r="117" spans="1:4" s="27" customFormat="1" ht="12.75" customHeight="1" x14ac:dyDescent="0.2">
      <c r="A117" s="2"/>
      <c r="B117" s="2"/>
      <c r="C117" s="2"/>
      <c r="D117" s="2"/>
    </row>
    <row r="118" spans="1:4" s="27" customFormat="1" ht="12.75" customHeight="1" x14ac:dyDescent="0.2">
      <c r="A118" s="2"/>
      <c r="B118" s="2"/>
      <c r="C118" s="2"/>
      <c r="D118" s="2"/>
    </row>
    <row r="119" spans="1:4" s="27" customFormat="1" ht="12.75" customHeight="1" x14ac:dyDescent="0.2">
      <c r="A119" s="2"/>
      <c r="B119" s="2"/>
      <c r="C119" s="2"/>
      <c r="D119" s="2"/>
    </row>
    <row r="120" spans="1:4" s="27" customFormat="1" ht="12.75" customHeight="1" x14ac:dyDescent="0.2">
      <c r="A120" s="2"/>
      <c r="B120" s="2"/>
      <c r="C120" s="2"/>
      <c r="D120" s="2"/>
    </row>
    <row r="121" spans="1:4" s="27" customFormat="1" ht="12.75" customHeight="1" x14ac:dyDescent="0.2">
      <c r="A121" s="2"/>
      <c r="B121" s="2"/>
      <c r="C121" s="2"/>
      <c r="D121" s="2"/>
    </row>
    <row r="122" spans="1:4" s="27" customFormat="1" ht="12.75" customHeight="1" x14ac:dyDescent="0.2">
      <c r="A122" s="2"/>
      <c r="B122" s="2"/>
      <c r="C122" s="2"/>
      <c r="D122" s="2"/>
    </row>
    <row r="123" spans="1:4" s="27" customFormat="1" ht="12.75" customHeight="1" x14ac:dyDescent="0.2">
      <c r="A123" s="2"/>
      <c r="B123" s="2"/>
      <c r="C123" s="2"/>
      <c r="D123" s="2"/>
    </row>
    <row r="124" spans="1:4" s="27" customFormat="1" ht="12.75" customHeight="1" x14ac:dyDescent="0.2">
      <c r="A124" s="2"/>
      <c r="B124" s="2"/>
      <c r="C124" s="2"/>
      <c r="D124" s="2"/>
    </row>
    <row r="125" spans="1:4" s="27" customFormat="1" ht="12.75" customHeight="1" x14ac:dyDescent="0.2">
      <c r="A125" s="2"/>
      <c r="B125" s="2"/>
      <c r="C125" s="2"/>
      <c r="D125" s="2"/>
    </row>
    <row r="126" spans="1:4" s="27" customFormat="1" ht="12.75" customHeight="1" x14ac:dyDescent="0.2">
      <c r="A126" s="2"/>
      <c r="B126" s="2"/>
      <c r="C126" s="2"/>
      <c r="D126" s="2"/>
    </row>
    <row r="127" spans="1:4" s="27" customFormat="1" ht="12.75" customHeight="1" x14ac:dyDescent="0.2">
      <c r="A127" s="2"/>
      <c r="B127" s="2"/>
      <c r="C127" s="2"/>
      <c r="D127" s="2"/>
    </row>
    <row r="128" spans="1:4" s="27" customFormat="1" ht="12.75" customHeight="1" x14ac:dyDescent="0.2">
      <c r="A128" s="2"/>
      <c r="B128" s="2"/>
      <c r="C128" s="2"/>
      <c r="D128" s="2"/>
    </row>
    <row r="129" spans="1:4" s="27" customFormat="1" ht="12.75" customHeight="1" x14ac:dyDescent="0.2">
      <c r="A129" s="2"/>
      <c r="B129" s="2"/>
      <c r="C129" s="2"/>
      <c r="D129" s="2"/>
    </row>
    <row r="130" spans="1:4" s="27" customFormat="1" ht="12.75" customHeight="1" x14ac:dyDescent="0.2">
      <c r="A130" s="2"/>
      <c r="B130" s="2"/>
      <c r="C130" s="2"/>
      <c r="D130" s="2"/>
    </row>
    <row r="131" spans="1:4" s="27" customFormat="1" ht="12.75" customHeight="1" x14ac:dyDescent="0.2">
      <c r="A131" s="2"/>
      <c r="B131" s="2"/>
      <c r="C131" s="2"/>
      <c r="D131" s="2"/>
    </row>
    <row r="132" spans="1:4" s="27" customFormat="1" ht="12.75" customHeight="1" x14ac:dyDescent="0.2">
      <c r="A132" s="2"/>
      <c r="B132" s="2"/>
      <c r="C132" s="2"/>
      <c r="D132" s="2"/>
    </row>
    <row r="133" spans="1:4" s="27" customFormat="1" ht="12.75" customHeight="1" x14ac:dyDescent="0.2">
      <c r="A133" s="2"/>
      <c r="B133" s="2"/>
      <c r="C133" s="2"/>
      <c r="D133" s="2"/>
    </row>
    <row r="134" spans="1:4" s="27" customFormat="1" ht="12.75" customHeight="1" x14ac:dyDescent="0.2">
      <c r="A134" s="2"/>
      <c r="B134" s="2"/>
      <c r="C134" s="2"/>
      <c r="D134" s="2"/>
    </row>
    <row r="135" spans="1:4" s="27" customFormat="1" ht="12.75" customHeight="1" x14ac:dyDescent="0.2">
      <c r="A135" s="2"/>
      <c r="B135" s="2"/>
      <c r="C135" s="2"/>
      <c r="D135" s="2"/>
    </row>
    <row r="136" spans="1:4" s="27" customFormat="1" ht="12.75" customHeight="1" x14ac:dyDescent="0.2">
      <c r="A136" s="2"/>
      <c r="B136" s="2"/>
      <c r="C136" s="2"/>
      <c r="D136" s="2"/>
    </row>
    <row r="137" spans="1:4" s="27" customFormat="1" ht="12.75" customHeight="1" x14ac:dyDescent="0.2">
      <c r="A137" s="2"/>
      <c r="B137" s="2"/>
      <c r="C137" s="2"/>
      <c r="D137" s="2"/>
    </row>
    <row r="138" spans="1:4" s="27" customFormat="1" ht="12.75" customHeight="1" x14ac:dyDescent="0.2">
      <c r="A138" s="2"/>
      <c r="B138" s="2"/>
      <c r="C138" s="2"/>
      <c r="D138" s="2"/>
    </row>
    <row r="139" spans="1:4" s="27" customFormat="1" ht="12.75" customHeight="1" x14ac:dyDescent="0.2">
      <c r="A139" s="2"/>
      <c r="B139" s="2"/>
      <c r="C139" s="2"/>
      <c r="D139" s="2"/>
    </row>
    <row r="140" spans="1:4" s="27" customFormat="1" ht="12.75" customHeight="1" x14ac:dyDescent="0.2">
      <c r="A140" s="2"/>
      <c r="B140" s="2"/>
      <c r="C140" s="2"/>
      <c r="D140" s="2"/>
    </row>
    <row r="141" spans="1:4" s="27" customFormat="1" ht="12.75" customHeight="1" x14ac:dyDescent="0.2">
      <c r="A141" s="2"/>
      <c r="B141" s="2"/>
      <c r="C141" s="2"/>
      <c r="D141" s="2"/>
    </row>
    <row r="142" spans="1:4" s="27" customFormat="1" ht="12.75" customHeight="1" x14ac:dyDescent="0.2">
      <c r="A142" s="2"/>
      <c r="B142" s="2"/>
      <c r="C142" s="2"/>
      <c r="D142" s="2"/>
    </row>
    <row r="143" spans="1:4" s="27" customFormat="1" ht="12.75" customHeight="1" x14ac:dyDescent="0.2">
      <c r="A143" s="2"/>
      <c r="B143" s="2"/>
      <c r="C143" s="2"/>
      <c r="D143" s="2"/>
    </row>
    <row r="144" spans="1:4" s="27" customFormat="1" ht="12.75" customHeight="1" x14ac:dyDescent="0.2">
      <c r="A144" s="2"/>
      <c r="B144" s="2"/>
      <c r="C144" s="2"/>
      <c r="D144" s="2"/>
    </row>
    <row r="145" spans="1:4" s="27" customFormat="1" ht="12.75" customHeight="1" x14ac:dyDescent="0.2">
      <c r="A145" s="2"/>
      <c r="B145" s="2"/>
      <c r="C145" s="2"/>
      <c r="D145" s="2"/>
    </row>
    <row r="146" spans="1:4" s="27" customFormat="1" ht="12.75" customHeight="1" x14ac:dyDescent="0.2">
      <c r="A146" s="2"/>
      <c r="B146" s="2"/>
      <c r="C146" s="2"/>
      <c r="D146" s="2"/>
    </row>
    <row r="147" spans="1:4" s="27" customFormat="1" ht="12.75" customHeight="1" x14ac:dyDescent="0.2">
      <c r="A147" s="2"/>
      <c r="B147" s="2"/>
      <c r="C147" s="2"/>
      <c r="D147" s="2"/>
    </row>
    <row r="148" spans="1:4" s="27" customFormat="1" ht="12.75" customHeight="1" x14ac:dyDescent="0.2">
      <c r="A148" s="2"/>
      <c r="B148" s="2"/>
      <c r="C148" s="2"/>
      <c r="D148" s="2"/>
    </row>
    <row r="149" spans="1:4" s="27" customFormat="1" ht="12.75" customHeight="1" x14ac:dyDescent="0.2">
      <c r="A149" s="2"/>
      <c r="B149" s="2"/>
      <c r="C149" s="2"/>
      <c r="D149" s="2"/>
    </row>
    <row r="150" spans="1:4" s="27" customFormat="1" ht="12.75" customHeight="1" x14ac:dyDescent="0.2">
      <c r="A150" s="2"/>
      <c r="B150" s="2"/>
      <c r="C150" s="2"/>
      <c r="D150" s="2"/>
    </row>
    <row r="151" spans="1:4" s="27" customFormat="1" ht="12.75" customHeight="1" x14ac:dyDescent="0.2">
      <c r="A151" s="2"/>
      <c r="B151" s="2"/>
      <c r="C151" s="2"/>
      <c r="D151" s="2"/>
    </row>
    <row r="152" spans="1:4" s="27" customFormat="1" ht="12.75" customHeight="1" x14ac:dyDescent="0.2">
      <c r="A152" s="2"/>
      <c r="B152" s="2"/>
      <c r="C152" s="2"/>
      <c r="D152" s="2"/>
    </row>
    <row r="153" spans="1:4" s="27" customFormat="1" ht="12.75" customHeight="1" x14ac:dyDescent="0.2">
      <c r="A153" s="2"/>
      <c r="B153" s="2"/>
      <c r="C153" s="2"/>
      <c r="D153" s="2"/>
    </row>
    <row r="154" spans="1:4" s="27" customFormat="1" ht="12.75" customHeight="1" x14ac:dyDescent="0.2">
      <c r="A154" s="2"/>
      <c r="B154" s="2"/>
      <c r="C154" s="2"/>
      <c r="D154" s="2"/>
    </row>
    <row r="155" spans="1:4" s="27" customFormat="1" ht="12.75" customHeight="1" x14ac:dyDescent="0.2">
      <c r="A155" s="2"/>
      <c r="B155" s="2"/>
      <c r="C155" s="2"/>
      <c r="D155" s="2"/>
    </row>
    <row r="156" spans="1:4" s="27" customFormat="1" ht="12.75" customHeight="1" x14ac:dyDescent="0.2">
      <c r="A156" s="2"/>
      <c r="B156" s="2"/>
      <c r="C156" s="2"/>
      <c r="D156" s="2"/>
    </row>
    <row r="157" spans="1:4" s="27" customFormat="1" ht="12.75" customHeight="1" x14ac:dyDescent="0.2">
      <c r="A157" s="2"/>
      <c r="B157" s="2"/>
      <c r="C157" s="2"/>
      <c r="D157" s="2"/>
    </row>
    <row r="158" spans="1:4" s="27" customFormat="1" ht="12.75" customHeight="1" x14ac:dyDescent="0.2">
      <c r="A158" s="2"/>
      <c r="B158" s="2"/>
      <c r="C158" s="2"/>
      <c r="D158" s="2"/>
    </row>
    <row r="159" spans="1:4" s="27" customFormat="1" ht="12.75" customHeight="1" x14ac:dyDescent="0.2">
      <c r="A159" s="2"/>
      <c r="B159" s="2"/>
      <c r="C159" s="2"/>
      <c r="D159" s="2"/>
    </row>
    <row r="160" spans="1:4" s="27" customFormat="1" ht="12.75" customHeight="1" x14ac:dyDescent="0.2">
      <c r="A160" s="2"/>
      <c r="B160" s="2"/>
      <c r="C160" s="2"/>
      <c r="D160" s="2"/>
    </row>
    <row r="161" spans="1:4" s="27" customFormat="1" ht="12.75" customHeight="1" x14ac:dyDescent="0.2">
      <c r="A161" s="2"/>
      <c r="B161" s="2"/>
      <c r="C161" s="2"/>
      <c r="D161" s="2"/>
    </row>
    <row r="162" spans="1:4" s="27" customFormat="1" ht="12.75" customHeight="1" x14ac:dyDescent="0.2">
      <c r="A162" s="2"/>
      <c r="B162" s="2"/>
      <c r="C162" s="2"/>
      <c r="D162" s="2"/>
    </row>
    <row r="163" spans="1:4" s="27" customFormat="1" ht="12.75" customHeight="1" x14ac:dyDescent="0.2">
      <c r="A163" s="2"/>
      <c r="B163" s="2"/>
      <c r="C163" s="2"/>
      <c r="D163" s="2"/>
    </row>
    <row r="164" spans="1:4" s="27" customFormat="1" ht="12.75" customHeight="1" x14ac:dyDescent="0.2">
      <c r="A164" s="2"/>
      <c r="B164" s="2"/>
      <c r="C164" s="2"/>
      <c r="D164" s="2"/>
    </row>
    <row r="165" spans="1:4" s="27" customFormat="1" ht="12.75" customHeight="1" x14ac:dyDescent="0.2">
      <c r="A165" s="2"/>
      <c r="B165" s="2"/>
      <c r="C165" s="2"/>
      <c r="D165" s="2"/>
    </row>
    <row r="166" spans="1:4" s="27" customFormat="1" ht="12.75" customHeight="1" x14ac:dyDescent="0.2">
      <c r="A166" s="2"/>
      <c r="B166" s="2"/>
      <c r="C166" s="2"/>
      <c r="D166" s="2"/>
    </row>
    <row r="167" spans="1:4" s="27" customFormat="1" ht="12.75" customHeight="1" x14ac:dyDescent="0.2">
      <c r="A167" s="2"/>
      <c r="B167" s="2"/>
      <c r="C167" s="2"/>
      <c r="D167" s="2"/>
    </row>
    <row r="168" spans="1:4" s="27" customFormat="1" ht="12.75" customHeight="1" x14ac:dyDescent="0.2">
      <c r="A168" s="2"/>
      <c r="B168" s="2"/>
      <c r="C168" s="2"/>
      <c r="D168" s="2"/>
    </row>
    <row r="169" spans="1:4" s="27" customFormat="1" ht="12.75" customHeight="1" x14ac:dyDescent="0.2">
      <c r="A169" s="2"/>
      <c r="B169" s="2"/>
      <c r="C169" s="2"/>
      <c r="D169" s="2"/>
    </row>
    <row r="170" spans="1:4" s="27" customFormat="1" ht="12.75" customHeight="1" x14ac:dyDescent="0.2">
      <c r="A170" s="2"/>
      <c r="B170" s="2"/>
      <c r="C170" s="2"/>
      <c r="D170" s="2"/>
    </row>
    <row r="171" spans="1:4" s="27" customFormat="1" ht="12.75" customHeight="1" x14ac:dyDescent="0.2">
      <c r="A171" s="2"/>
      <c r="B171" s="2"/>
      <c r="C171" s="2"/>
      <c r="D171" s="2"/>
    </row>
    <row r="172" spans="1:4" s="27" customFormat="1" ht="12.75" customHeight="1" x14ac:dyDescent="0.2">
      <c r="A172" s="2"/>
      <c r="B172" s="2"/>
      <c r="C172" s="2"/>
      <c r="D172" s="2"/>
    </row>
    <row r="173" spans="1:4" s="27" customFormat="1" ht="12.75" customHeight="1" x14ac:dyDescent="0.2">
      <c r="A173" s="2"/>
      <c r="B173" s="2"/>
      <c r="C173" s="2"/>
      <c r="D173" s="2"/>
    </row>
    <row r="174" spans="1:4" s="27" customFormat="1" ht="12.75" customHeight="1" x14ac:dyDescent="0.2">
      <c r="A174" s="2"/>
      <c r="B174" s="2"/>
      <c r="C174" s="2"/>
      <c r="D174" s="2"/>
    </row>
    <row r="175" spans="1:4" s="27" customFormat="1" ht="12.75" customHeight="1" x14ac:dyDescent="0.2">
      <c r="A175" s="2"/>
      <c r="B175" s="2"/>
      <c r="C175" s="2"/>
      <c r="D175" s="2"/>
    </row>
    <row r="176" spans="1:4" s="27" customFormat="1" ht="12.75" customHeight="1" x14ac:dyDescent="0.2">
      <c r="A176" s="2"/>
      <c r="B176" s="2"/>
      <c r="C176" s="2"/>
      <c r="D176" s="2"/>
    </row>
    <row r="177" spans="1:4" s="27" customFormat="1" ht="12.75" customHeight="1" x14ac:dyDescent="0.2">
      <c r="A177" s="2"/>
      <c r="B177" s="2"/>
      <c r="C177" s="2"/>
      <c r="D177" s="2"/>
    </row>
    <row r="178" spans="1:4" s="27" customFormat="1" ht="12.75" customHeight="1" x14ac:dyDescent="0.2">
      <c r="A178" s="2"/>
      <c r="B178" s="2"/>
      <c r="C178" s="2"/>
      <c r="D178" s="2"/>
    </row>
    <row r="179" spans="1:4" s="27" customFormat="1" ht="12.75" customHeight="1" x14ac:dyDescent="0.2">
      <c r="A179" s="2"/>
      <c r="B179" s="2"/>
      <c r="C179" s="2"/>
      <c r="D179" s="2"/>
    </row>
    <row r="180" spans="1:4" s="27" customFormat="1" ht="12.75" customHeight="1" x14ac:dyDescent="0.2">
      <c r="A180" s="2"/>
      <c r="B180" s="2"/>
      <c r="C180" s="2"/>
      <c r="D180" s="2"/>
    </row>
    <row r="181" spans="1:4" s="27" customFormat="1" ht="12.75" customHeight="1" x14ac:dyDescent="0.2">
      <c r="A181" s="2"/>
      <c r="B181" s="2"/>
      <c r="C181" s="2"/>
      <c r="D181" s="2"/>
    </row>
    <row r="182" spans="1:4" s="27" customFormat="1" ht="12.75" customHeight="1" x14ac:dyDescent="0.2">
      <c r="A182" s="2"/>
      <c r="B182" s="2"/>
      <c r="C182" s="2"/>
      <c r="D182" s="2"/>
    </row>
    <row r="183" spans="1:4" s="27" customFormat="1" ht="12.75" customHeight="1" x14ac:dyDescent="0.2">
      <c r="A183" s="2"/>
      <c r="B183" s="2"/>
      <c r="C183" s="2"/>
      <c r="D183" s="2"/>
    </row>
    <row r="184" spans="1:4" s="27" customFormat="1" ht="12.75" customHeight="1" x14ac:dyDescent="0.2">
      <c r="A184" s="2"/>
      <c r="B184" s="2"/>
      <c r="C184" s="2"/>
      <c r="D184" s="2"/>
    </row>
    <row r="185" spans="1:4" s="27" customFormat="1" ht="12.75" customHeight="1" x14ac:dyDescent="0.2">
      <c r="A185" s="2"/>
      <c r="B185" s="2"/>
      <c r="C185" s="2"/>
      <c r="D185" s="2"/>
    </row>
    <row r="186" spans="1:4" s="27" customFormat="1" ht="12.75" customHeight="1" x14ac:dyDescent="0.2">
      <c r="A186" s="2"/>
      <c r="B186" s="2"/>
      <c r="C186" s="2"/>
      <c r="D186" s="2"/>
    </row>
    <row r="187" spans="1:4" s="27" customFormat="1" ht="12.75" customHeight="1" x14ac:dyDescent="0.2">
      <c r="A187" s="2"/>
      <c r="B187" s="2"/>
      <c r="C187" s="2"/>
      <c r="D187" s="2"/>
    </row>
    <row r="188" spans="1:4" s="27" customFormat="1" ht="12.75" customHeight="1" x14ac:dyDescent="0.2">
      <c r="A188" s="2"/>
      <c r="B188" s="2"/>
      <c r="C188" s="2"/>
      <c r="D188" s="2"/>
    </row>
    <row r="189" spans="1:4" s="27" customFormat="1" ht="12.75" customHeight="1" x14ac:dyDescent="0.2">
      <c r="A189" s="2"/>
      <c r="B189" s="2"/>
      <c r="C189" s="2"/>
      <c r="D189" s="2"/>
    </row>
    <row r="190" spans="1:4" s="27" customFormat="1" ht="12.75" customHeight="1" x14ac:dyDescent="0.2">
      <c r="A190" s="2"/>
      <c r="B190" s="2"/>
      <c r="C190" s="2"/>
      <c r="D190" s="2"/>
    </row>
    <row r="191" spans="1:4" s="27" customFormat="1" ht="12.75" customHeight="1" x14ac:dyDescent="0.2">
      <c r="A191" s="2"/>
      <c r="B191" s="2"/>
      <c r="C191" s="2"/>
      <c r="D191" s="2"/>
    </row>
    <row r="192" spans="1:4" s="27" customFormat="1" ht="12.75" customHeight="1" x14ac:dyDescent="0.2">
      <c r="A192" s="2"/>
      <c r="B192" s="2"/>
      <c r="C192" s="2"/>
      <c r="D192" s="2"/>
    </row>
    <row r="193" spans="1:4" s="27" customFormat="1" ht="12.75" customHeight="1" x14ac:dyDescent="0.2">
      <c r="A193" s="2"/>
      <c r="B193" s="2"/>
      <c r="C193" s="2"/>
      <c r="D193" s="2"/>
    </row>
    <row r="194" spans="1:4" s="27" customFormat="1" ht="12.75" customHeight="1" x14ac:dyDescent="0.2">
      <c r="A194" s="2"/>
      <c r="B194" s="2"/>
      <c r="C194" s="2"/>
      <c r="D194" s="2"/>
    </row>
    <row r="195" spans="1:4" s="27" customFormat="1" ht="12.75" customHeight="1" x14ac:dyDescent="0.2">
      <c r="A195" s="2"/>
      <c r="B195" s="2"/>
      <c r="C195" s="2"/>
      <c r="D195" s="2"/>
    </row>
    <row r="196" spans="1:4" s="27" customFormat="1" ht="12.75" customHeight="1" x14ac:dyDescent="0.2">
      <c r="A196" s="2"/>
      <c r="B196" s="2"/>
      <c r="C196" s="2"/>
      <c r="D196" s="2"/>
    </row>
    <row r="197" spans="1:4" s="27" customFormat="1" ht="12.75" customHeight="1" x14ac:dyDescent="0.2">
      <c r="A197" s="2"/>
      <c r="B197" s="2"/>
      <c r="C197" s="2"/>
      <c r="D197" s="2"/>
    </row>
    <row r="198" spans="1:4" s="27" customFormat="1" ht="12.75" customHeight="1" x14ac:dyDescent="0.2">
      <c r="A198" s="2"/>
      <c r="B198" s="2"/>
      <c r="C198" s="2"/>
      <c r="D198" s="2"/>
    </row>
    <row r="199" spans="1:4" s="27" customFormat="1" ht="12.75" customHeight="1" x14ac:dyDescent="0.2">
      <c r="A199" s="2"/>
      <c r="B199" s="2"/>
      <c r="C199" s="2"/>
      <c r="D199" s="2"/>
    </row>
    <row r="200" spans="1:4" s="27" customFormat="1" ht="12.75" customHeight="1" x14ac:dyDescent="0.2">
      <c r="A200" s="2"/>
      <c r="B200" s="2"/>
      <c r="C200" s="2"/>
      <c r="D200" s="2"/>
    </row>
    <row r="201" spans="1:4" s="27" customFormat="1" ht="12.75" customHeight="1" x14ac:dyDescent="0.2">
      <c r="A201" s="2"/>
      <c r="B201" s="2"/>
      <c r="C201" s="2"/>
      <c r="D201" s="2"/>
    </row>
    <row r="202" spans="1:4" s="27" customFormat="1" ht="12.75" customHeight="1" x14ac:dyDescent="0.2">
      <c r="A202" s="2"/>
      <c r="B202" s="2"/>
      <c r="C202" s="2"/>
      <c r="D202" s="2"/>
    </row>
    <row r="203" spans="1:4" s="27" customFormat="1" ht="12.75" customHeight="1" x14ac:dyDescent="0.2">
      <c r="A203" s="2"/>
      <c r="B203" s="2"/>
      <c r="C203" s="2"/>
      <c r="D203" s="2"/>
    </row>
    <row r="204" spans="1:4" s="27" customFormat="1" ht="12.75" customHeight="1" x14ac:dyDescent="0.2">
      <c r="A204" s="2"/>
      <c r="B204" s="2"/>
      <c r="C204" s="2"/>
      <c r="D204" s="2"/>
    </row>
    <row r="205" spans="1:4" s="27" customFormat="1" ht="12.75" customHeight="1" x14ac:dyDescent="0.2">
      <c r="A205" s="2"/>
      <c r="B205" s="2"/>
      <c r="C205" s="2"/>
      <c r="D205" s="2"/>
    </row>
    <row r="206" spans="1:4" s="27" customFormat="1" ht="12.75" customHeight="1" x14ac:dyDescent="0.2">
      <c r="A206" s="2"/>
      <c r="B206" s="2"/>
      <c r="C206" s="2"/>
      <c r="D206" s="2"/>
    </row>
    <row r="207" spans="1:4" s="27" customFormat="1" ht="12.75" customHeight="1" x14ac:dyDescent="0.2">
      <c r="A207" s="2"/>
      <c r="B207" s="2"/>
      <c r="C207" s="2"/>
      <c r="D207" s="2"/>
    </row>
    <row r="208" spans="1:4" s="27" customFormat="1" ht="12.75" customHeight="1" x14ac:dyDescent="0.2">
      <c r="A208" s="2"/>
      <c r="B208" s="2"/>
      <c r="C208" s="2"/>
      <c r="D208" s="2"/>
    </row>
    <row r="209" spans="1:4" s="27" customFormat="1" ht="12.75" customHeight="1" x14ac:dyDescent="0.2">
      <c r="A209" s="2"/>
      <c r="B209" s="2"/>
      <c r="C209" s="2"/>
      <c r="D209" s="2"/>
    </row>
    <row r="210" spans="1:4" s="27" customFormat="1" ht="12.75" customHeight="1" x14ac:dyDescent="0.2">
      <c r="A210" s="2"/>
      <c r="B210" s="2"/>
      <c r="C210" s="2"/>
      <c r="D210" s="2"/>
    </row>
    <row r="211" spans="1:4" s="27" customFormat="1" ht="12.75" customHeight="1" x14ac:dyDescent="0.2">
      <c r="A211" s="2"/>
      <c r="B211" s="2"/>
      <c r="C211" s="2"/>
      <c r="D211" s="2"/>
    </row>
    <row r="212" spans="1:4" s="27" customFormat="1" ht="12.75" customHeight="1" x14ac:dyDescent="0.2">
      <c r="A212" s="2"/>
      <c r="B212" s="2"/>
      <c r="C212" s="2"/>
      <c r="D212" s="2"/>
    </row>
    <row r="213" spans="1:4" s="27" customFormat="1" ht="12.75" customHeight="1" x14ac:dyDescent="0.2">
      <c r="A213" s="2"/>
      <c r="B213" s="2"/>
      <c r="C213" s="2"/>
      <c r="D213" s="2"/>
    </row>
    <row r="214" spans="1:4" s="27" customFormat="1" ht="12.75" customHeight="1" x14ac:dyDescent="0.2">
      <c r="A214" s="2"/>
      <c r="B214" s="2"/>
      <c r="C214" s="2"/>
      <c r="D214" s="2"/>
    </row>
    <row r="215" spans="1:4" s="27" customFormat="1" ht="12.75" customHeight="1" x14ac:dyDescent="0.2">
      <c r="A215" s="2"/>
      <c r="B215" s="2"/>
      <c r="C215" s="2"/>
      <c r="D215" s="2"/>
    </row>
    <row r="216" spans="1:4" s="27" customFormat="1" ht="12.75" customHeight="1" x14ac:dyDescent="0.2">
      <c r="A216" s="2"/>
      <c r="B216" s="2"/>
      <c r="C216" s="2"/>
      <c r="D216" s="2"/>
    </row>
    <row r="217" spans="1:4" s="27" customFormat="1" ht="12.75" customHeight="1" x14ac:dyDescent="0.2">
      <c r="A217" s="2"/>
      <c r="B217" s="2"/>
      <c r="C217" s="2"/>
      <c r="D217" s="2"/>
    </row>
    <row r="218" spans="1:4" s="27" customFormat="1" ht="12.75" customHeight="1" x14ac:dyDescent="0.2">
      <c r="A218" s="2"/>
      <c r="B218" s="2"/>
      <c r="C218" s="2"/>
      <c r="D218" s="2"/>
    </row>
    <row r="219" spans="1:4" s="27" customFormat="1" ht="12.75" customHeight="1" x14ac:dyDescent="0.2">
      <c r="A219" s="2"/>
      <c r="B219" s="2"/>
      <c r="C219" s="2"/>
      <c r="D219" s="2"/>
    </row>
    <row r="220" spans="1:4" s="27" customFormat="1" ht="12.75" customHeight="1" x14ac:dyDescent="0.2">
      <c r="A220" s="2"/>
      <c r="B220" s="2"/>
      <c r="C220" s="2"/>
      <c r="D220" s="2"/>
    </row>
    <row r="221" spans="1:4" s="27" customFormat="1" ht="12.75" customHeight="1" x14ac:dyDescent="0.2">
      <c r="A221" s="2"/>
      <c r="B221" s="2"/>
      <c r="C221" s="2"/>
      <c r="D221" s="2"/>
    </row>
    <row r="222" spans="1:4" s="27" customFormat="1" ht="12.75" customHeight="1" x14ac:dyDescent="0.2">
      <c r="A222" s="2"/>
      <c r="B222" s="2"/>
      <c r="C222" s="2"/>
      <c r="D222" s="2"/>
    </row>
    <row r="223" spans="1:4" s="27" customFormat="1" ht="12.75" customHeight="1" x14ac:dyDescent="0.2">
      <c r="A223" s="2"/>
      <c r="B223" s="2"/>
      <c r="C223" s="2"/>
      <c r="D223" s="2"/>
    </row>
    <row r="224" spans="1:4" s="27" customFormat="1" ht="12.75" customHeight="1" x14ac:dyDescent="0.2">
      <c r="A224" s="2"/>
      <c r="B224" s="2"/>
      <c r="C224" s="2"/>
      <c r="D224" s="2"/>
    </row>
    <row r="225" spans="1:4" s="27" customFormat="1" ht="12.75" customHeight="1" x14ac:dyDescent="0.2">
      <c r="A225" s="2"/>
      <c r="B225" s="2"/>
      <c r="C225" s="2"/>
      <c r="D225" s="2"/>
    </row>
    <row r="226" spans="1:4" s="27" customFormat="1" ht="12.75" customHeight="1" x14ac:dyDescent="0.2">
      <c r="A226" s="2"/>
      <c r="B226" s="2"/>
      <c r="C226" s="2"/>
      <c r="D226" s="2"/>
    </row>
    <row r="227" spans="1:4" s="27" customFormat="1" ht="12.75" customHeight="1" x14ac:dyDescent="0.2">
      <c r="A227" s="2"/>
      <c r="B227" s="2"/>
      <c r="C227" s="2"/>
      <c r="D227" s="2"/>
    </row>
    <row r="228" spans="1:4" s="27" customFormat="1" ht="12.75" customHeight="1" x14ac:dyDescent="0.2">
      <c r="A228" s="2"/>
      <c r="B228" s="2"/>
      <c r="C228" s="2"/>
      <c r="D228" s="2"/>
    </row>
    <row r="229" spans="1:4" s="27" customFormat="1" ht="12.75" customHeight="1" x14ac:dyDescent="0.2">
      <c r="A229" s="2"/>
      <c r="B229" s="2"/>
      <c r="C229" s="2"/>
      <c r="D229" s="2"/>
    </row>
    <row r="230" spans="1:4" s="27" customFormat="1" ht="12.75" customHeight="1" x14ac:dyDescent="0.2">
      <c r="A230" s="2"/>
      <c r="B230" s="2"/>
      <c r="C230" s="2"/>
      <c r="D230" s="2"/>
    </row>
    <row r="231" spans="1:4" s="27" customFormat="1" ht="12.75" customHeight="1" x14ac:dyDescent="0.2">
      <c r="A231" s="2"/>
      <c r="B231" s="2"/>
      <c r="C231" s="2"/>
      <c r="D231" s="2"/>
    </row>
    <row r="232" spans="1:4" s="27" customFormat="1" ht="12.75" customHeight="1" x14ac:dyDescent="0.2">
      <c r="A232" s="2"/>
      <c r="B232" s="2"/>
      <c r="C232" s="2"/>
      <c r="D232" s="2"/>
    </row>
    <row r="233" spans="1:4" s="27" customFormat="1" ht="12.75" customHeight="1" x14ac:dyDescent="0.2">
      <c r="A233" s="2"/>
      <c r="B233" s="2"/>
      <c r="C233" s="2"/>
      <c r="D233" s="2"/>
    </row>
    <row r="234" spans="1:4" s="27" customFormat="1" ht="12.75" customHeight="1" x14ac:dyDescent="0.2">
      <c r="A234" s="2"/>
      <c r="B234" s="2"/>
      <c r="C234" s="2"/>
      <c r="D234" s="2"/>
    </row>
    <row r="235" spans="1:4" s="27" customFormat="1" ht="12.75" customHeight="1" x14ac:dyDescent="0.2">
      <c r="A235" s="2"/>
      <c r="B235" s="2"/>
      <c r="C235" s="2"/>
      <c r="D235" s="2"/>
    </row>
    <row r="236" spans="1:4" s="27" customFormat="1" ht="12.75" customHeight="1" x14ac:dyDescent="0.2">
      <c r="A236" s="2"/>
      <c r="B236" s="2"/>
      <c r="C236" s="2"/>
      <c r="D236" s="2"/>
    </row>
    <row r="237" spans="1:4" s="27" customFormat="1" ht="12.75" customHeight="1" x14ac:dyDescent="0.2">
      <c r="A237" s="2"/>
      <c r="B237" s="2"/>
      <c r="C237" s="2"/>
      <c r="D237" s="2"/>
    </row>
    <row r="238" spans="1:4" s="27" customFormat="1" ht="12.75" customHeight="1" x14ac:dyDescent="0.2">
      <c r="A238" s="2"/>
      <c r="B238" s="2"/>
      <c r="C238" s="2"/>
      <c r="D238" s="2"/>
    </row>
    <row r="239" spans="1:4" s="27" customFormat="1" ht="12.75" customHeight="1" x14ac:dyDescent="0.2">
      <c r="A239" s="2"/>
      <c r="B239" s="2"/>
      <c r="C239" s="2"/>
      <c r="D239" s="2"/>
    </row>
    <row r="240" spans="1:4" s="27" customFormat="1" ht="12.75" customHeight="1" x14ac:dyDescent="0.2">
      <c r="A240" s="2"/>
      <c r="B240" s="2"/>
      <c r="C240" s="2"/>
      <c r="D240" s="2"/>
    </row>
    <row r="241" spans="1:4" s="27" customFormat="1" ht="12.75" customHeight="1" x14ac:dyDescent="0.2">
      <c r="A241" s="2"/>
      <c r="B241" s="2"/>
      <c r="C241" s="2"/>
      <c r="D241" s="2"/>
    </row>
    <row r="242" spans="1:4" s="27" customFormat="1" ht="12.75" customHeight="1" x14ac:dyDescent="0.2">
      <c r="A242" s="2"/>
      <c r="B242" s="2"/>
      <c r="C242" s="2"/>
      <c r="D242" s="2"/>
    </row>
    <row r="243" spans="1:4" s="27" customFormat="1" ht="12.75" customHeight="1" x14ac:dyDescent="0.2">
      <c r="A243" s="2"/>
      <c r="B243" s="2"/>
      <c r="C243" s="2"/>
      <c r="D243" s="2"/>
    </row>
    <row r="244" spans="1:4" s="27" customFormat="1" ht="12.75" customHeight="1" x14ac:dyDescent="0.2">
      <c r="A244" s="2"/>
      <c r="B244" s="2"/>
      <c r="C244" s="2"/>
      <c r="D244" s="2"/>
    </row>
    <row r="245" spans="1:4" s="27" customFormat="1" ht="12.75" customHeight="1" x14ac:dyDescent="0.2">
      <c r="A245" s="2"/>
      <c r="B245" s="2"/>
      <c r="C245" s="2"/>
      <c r="D245" s="2"/>
    </row>
    <row r="246" spans="1:4" s="27" customFormat="1" ht="12.75" customHeight="1" x14ac:dyDescent="0.2">
      <c r="A246" s="2"/>
      <c r="B246" s="2"/>
      <c r="C246" s="2"/>
      <c r="D246" s="2"/>
    </row>
    <row r="247" spans="1:4" s="27" customFormat="1" ht="12.75" customHeight="1" x14ac:dyDescent="0.2">
      <c r="A247" s="2"/>
      <c r="B247" s="2"/>
      <c r="C247" s="2"/>
      <c r="D247" s="2"/>
    </row>
    <row r="248" spans="1:4" s="27" customFormat="1" ht="12.75" customHeight="1" x14ac:dyDescent="0.2">
      <c r="A248" s="2"/>
      <c r="B248" s="2"/>
      <c r="C248" s="2"/>
      <c r="D248" s="2"/>
    </row>
    <row r="249" spans="1:4" s="27" customFormat="1" ht="12.75" customHeight="1" x14ac:dyDescent="0.2">
      <c r="A249" s="2"/>
      <c r="B249" s="2"/>
      <c r="C249" s="2"/>
      <c r="D249" s="2"/>
    </row>
    <row r="250" spans="1:4" s="27" customFormat="1" ht="12.75" customHeight="1" x14ac:dyDescent="0.2">
      <c r="A250" s="2"/>
      <c r="B250" s="2"/>
      <c r="C250" s="2"/>
      <c r="D250" s="2"/>
    </row>
    <row r="251" spans="1:4" s="27" customFormat="1" ht="12.75" customHeight="1" x14ac:dyDescent="0.2">
      <c r="A251" s="2"/>
      <c r="B251" s="2"/>
      <c r="C251" s="2"/>
      <c r="D251" s="2"/>
    </row>
    <row r="252" spans="1:4" s="27" customFormat="1" ht="12.75" customHeight="1" x14ac:dyDescent="0.2">
      <c r="A252" s="2"/>
      <c r="B252" s="2"/>
      <c r="C252" s="2"/>
      <c r="D252" s="2"/>
    </row>
    <row r="253" spans="1:4" s="27" customFormat="1" ht="12.75" customHeight="1" x14ac:dyDescent="0.2">
      <c r="A253" s="2"/>
      <c r="B253" s="2"/>
      <c r="C253" s="2"/>
      <c r="D253" s="2"/>
    </row>
    <row r="254" spans="1:4" s="27" customFormat="1" ht="12.75" customHeight="1" x14ac:dyDescent="0.2">
      <c r="A254" s="2"/>
      <c r="B254" s="2"/>
      <c r="C254" s="2"/>
      <c r="D254" s="2"/>
    </row>
    <row r="255" spans="1:4" s="27" customFormat="1" ht="12.75" customHeight="1" x14ac:dyDescent="0.2">
      <c r="A255" s="2"/>
      <c r="B255" s="2"/>
      <c r="C255" s="2"/>
      <c r="D255" s="2"/>
    </row>
    <row r="256" spans="1:4" s="27" customFormat="1" ht="12.75" customHeight="1" x14ac:dyDescent="0.2">
      <c r="A256" s="2"/>
      <c r="B256" s="2"/>
      <c r="C256" s="2"/>
      <c r="D256" s="2"/>
    </row>
    <row r="257" spans="1:4" s="27" customFormat="1" ht="12.75" customHeight="1" x14ac:dyDescent="0.2">
      <c r="A257" s="2"/>
      <c r="B257" s="2"/>
      <c r="C257" s="2"/>
      <c r="D257" s="2"/>
    </row>
    <row r="258" spans="1:4" s="27" customFormat="1" ht="12.75" customHeight="1" x14ac:dyDescent="0.2">
      <c r="A258" s="2"/>
      <c r="B258" s="2"/>
      <c r="C258" s="2"/>
      <c r="D258" s="2"/>
    </row>
    <row r="259" spans="1:4" s="27" customFormat="1" ht="12.75" customHeight="1" x14ac:dyDescent="0.2">
      <c r="A259" s="2"/>
      <c r="B259" s="2"/>
      <c r="C259" s="2"/>
      <c r="D259" s="2"/>
    </row>
    <row r="260" spans="1:4" s="27" customFormat="1" ht="12.75" customHeight="1" x14ac:dyDescent="0.2">
      <c r="A260" s="2"/>
      <c r="B260" s="2"/>
      <c r="C260" s="2"/>
      <c r="D260" s="2"/>
    </row>
    <row r="261" spans="1:4" s="27" customFormat="1" ht="12.75" customHeight="1" x14ac:dyDescent="0.2">
      <c r="A261" s="2"/>
      <c r="B261" s="2"/>
      <c r="C261" s="2"/>
      <c r="D261" s="2"/>
    </row>
    <row r="262" spans="1:4" s="27" customFormat="1" ht="12.75" customHeight="1" x14ac:dyDescent="0.2">
      <c r="A262" s="2"/>
      <c r="B262" s="2"/>
      <c r="C262" s="2"/>
      <c r="D262" s="2"/>
    </row>
    <row r="263" spans="1:4" s="27" customFormat="1" ht="12.75" customHeight="1" x14ac:dyDescent="0.2">
      <c r="A263" s="2"/>
      <c r="B263" s="2"/>
      <c r="C263" s="2"/>
      <c r="D263" s="2"/>
    </row>
    <row r="264" spans="1:4" s="27" customFormat="1" ht="12.75" customHeight="1" x14ac:dyDescent="0.2">
      <c r="A264" s="2"/>
      <c r="B264" s="2"/>
      <c r="C264" s="2"/>
      <c r="D264" s="2"/>
    </row>
    <row r="265" spans="1:4" s="27" customFormat="1" ht="12.75" customHeight="1" x14ac:dyDescent="0.2">
      <c r="A265" s="2"/>
      <c r="B265" s="2"/>
      <c r="C265" s="2"/>
      <c r="D265" s="2"/>
    </row>
    <row r="266" spans="1:4" s="27" customFormat="1" ht="12.75" customHeight="1" x14ac:dyDescent="0.2">
      <c r="A266" s="2"/>
      <c r="B266" s="2"/>
      <c r="C266" s="2"/>
      <c r="D266" s="2"/>
    </row>
    <row r="267" spans="1:4" s="27" customFormat="1" ht="12.75" customHeight="1" x14ac:dyDescent="0.2">
      <c r="A267" s="2"/>
      <c r="B267" s="2"/>
      <c r="C267" s="2"/>
      <c r="D267" s="2"/>
    </row>
    <row r="268" spans="1:4" s="27" customFormat="1" ht="12.75" customHeight="1" x14ac:dyDescent="0.2">
      <c r="A268" s="2"/>
      <c r="B268" s="2"/>
      <c r="C268" s="2"/>
      <c r="D268" s="2"/>
    </row>
    <row r="269" spans="1:4" s="27" customFormat="1" ht="12.75" customHeight="1" x14ac:dyDescent="0.2">
      <c r="A269" s="2"/>
      <c r="B269" s="2"/>
      <c r="C269" s="2"/>
      <c r="D269" s="2"/>
    </row>
    <row r="270" spans="1:4" s="27" customFormat="1" ht="12.75" customHeight="1" x14ac:dyDescent="0.2">
      <c r="A270" s="2"/>
      <c r="B270" s="2"/>
      <c r="C270" s="2"/>
      <c r="D270" s="2"/>
    </row>
    <row r="271" spans="1:4" s="27" customFormat="1" ht="12.75" customHeight="1" x14ac:dyDescent="0.2">
      <c r="A271" s="2"/>
      <c r="B271" s="2"/>
      <c r="C271" s="2"/>
      <c r="D271" s="2"/>
    </row>
    <row r="272" spans="1:4" s="27" customFormat="1" ht="12.75" customHeight="1" x14ac:dyDescent="0.2">
      <c r="A272" s="2"/>
      <c r="B272" s="2"/>
      <c r="C272" s="2"/>
      <c r="D272" s="2"/>
    </row>
    <row r="273" spans="1:4" s="27" customFormat="1" ht="12.75" customHeight="1" x14ac:dyDescent="0.2">
      <c r="A273" s="2"/>
      <c r="B273" s="2"/>
      <c r="C273" s="2"/>
      <c r="D273" s="2"/>
    </row>
    <row r="274" spans="1:4" s="27" customFormat="1" ht="12.75" customHeight="1" x14ac:dyDescent="0.2">
      <c r="A274" s="2"/>
      <c r="B274" s="2"/>
      <c r="C274" s="2"/>
      <c r="D274" s="2"/>
    </row>
    <row r="275" spans="1:4" s="27" customFormat="1" ht="12.75" customHeight="1" x14ac:dyDescent="0.2">
      <c r="A275" s="2"/>
      <c r="B275" s="2"/>
      <c r="C275" s="2"/>
      <c r="D275" s="2"/>
    </row>
    <row r="276" spans="1:4" s="27" customFormat="1" ht="12.75" customHeight="1" x14ac:dyDescent="0.2">
      <c r="A276" s="2"/>
      <c r="B276" s="2"/>
      <c r="C276" s="2"/>
      <c r="D276" s="2"/>
    </row>
    <row r="277" spans="1:4" s="27" customFormat="1" ht="12.75" customHeight="1" x14ac:dyDescent="0.2">
      <c r="A277" s="2"/>
      <c r="B277" s="2"/>
      <c r="C277" s="2"/>
      <c r="D277" s="2"/>
    </row>
    <row r="278" spans="1:4" s="27" customFormat="1" ht="12.75" customHeight="1" x14ac:dyDescent="0.2">
      <c r="A278" s="2"/>
      <c r="B278" s="2"/>
      <c r="C278" s="2"/>
      <c r="D278" s="2"/>
    </row>
    <row r="279" spans="1:4" s="27" customFormat="1" ht="12.75" customHeight="1" x14ac:dyDescent="0.2">
      <c r="A279" s="2"/>
      <c r="B279" s="2"/>
      <c r="C279" s="2"/>
      <c r="D279" s="2"/>
    </row>
    <row r="280" spans="1:4" s="27" customFormat="1" ht="12.75" customHeight="1" x14ac:dyDescent="0.2">
      <c r="A280" s="2"/>
      <c r="B280" s="2"/>
      <c r="C280" s="2"/>
      <c r="D280" s="2"/>
    </row>
    <row r="281" spans="1:4" s="27" customFormat="1" ht="12.75" customHeight="1" x14ac:dyDescent="0.2">
      <c r="A281" s="2"/>
      <c r="B281" s="2"/>
      <c r="C281" s="2"/>
      <c r="D281" s="2"/>
    </row>
    <row r="282" spans="1:4" s="27" customFormat="1" ht="12.75" customHeight="1" x14ac:dyDescent="0.2">
      <c r="A282" s="2"/>
      <c r="B282" s="2"/>
      <c r="C282" s="2"/>
      <c r="D282" s="2"/>
    </row>
    <row r="283" spans="1:4" s="27" customFormat="1" ht="12.75" customHeight="1" x14ac:dyDescent="0.2">
      <c r="A283" s="2"/>
      <c r="B283" s="2"/>
      <c r="C283" s="2"/>
      <c r="D283" s="2"/>
    </row>
    <row r="284" spans="1:4" s="27" customFormat="1" ht="12.75" customHeight="1" x14ac:dyDescent="0.2">
      <c r="A284" s="2"/>
      <c r="B284" s="2"/>
      <c r="C284" s="2"/>
      <c r="D284" s="2"/>
    </row>
    <row r="285" spans="1:4" s="27" customFormat="1" ht="12.75" customHeight="1" x14ac:dyDescent="0.2">
      <c r="A285" s="2"/>
      <c r="B285" s="2"/>
      <c r="C285" s="2"/>
      <c r="D285" s="2"/>
    </row>
    <row r="286" spans="1:4" s="27" customFormat="1" ht="12.75" customHeight="1" x14ac:dyDescent="0.2">
      <c r="A286" s="2"/>
      <c r="B286" s="2"/>
      <c r="C286" s="2"/>
      <c r="D286" s="2"/>
    </row>
    <row r="287" spans="1:4" s="27" customFormat="1" ht="12.75" customHeight="1" x14ac:dyDescent="0.2">
      <c r="A287" s="2"/>
      <c r="B287" s="2"/>
      <c r="C287" s="2"/>
      <c r="D287" s="2"/>
    </row>
    <row r="288" spans="1:4" s="27" customFormat="1" ht="12.75" customHeight="1" x14ac:dyDescent="0.2">
      <c r="A288" s="2"/>
      <c r="B288" s="2"/>
      <c r="C288" s="2"/>
      <c r="D288" s="2"/>
    </row>
    <row r="289" spans="1:4" s="27" customFormat="1" ht="12.75" customHeight="1" x14ac:dyDescent="0.2">
      <c r="A289" s="2"/>
      <c r="B289" s="2"/>
      <c r="C289" s="2"/>
      <c r="D289" s="2"/>
    </row>
    <row r="290" spans="1:4" s="27" customFormat="1" ht="12.75" customHeight="1" x14ac:dyDescent="0.2">
      <c r="A290" s="2"/>
      <c r="B290" s="2"/>
      <c r="C290" s="2"/>
      <c r="D290" s="2"/>
    </row>
    <row r="291" spans="1:4" s="27" customFormat="1" ht="12.75" customHeight="1" x14ac:dyDescent="0.2">
      <c r="A291" s="2"/>
      <c r="B291" s="2"/>
      <c r="C291" s="2"/>
      <c r="D291" s="2"/>
    </row>
    <row r="292" spans="1:4" s="27" customFormat="1" ht="12.75" customHeight="1" x14ac:dyDescent="0.2">
      <c r="A292" s="2"/>
      <c r="B292" s="2"/>
      <c r="C292" s="2"/>
      <c r="D292" s="2"/>
    </row>
    <row r="293" spans="1:4" s="27" customFormat="1" ht="12.75" customHeight="1" x14ac:dyDescent="0.2">
      <c r="A293" s="2"/>
      <c r="B293" s="2"/>
      <c r="C293" s="2"/>
      <c r="D293" s="2"/>
    </row>
    <row r="294" spans="1:4" s="27" customFormat="1" ht="12.75" customHeight="1" x14ac:dyDescent="0.2">
      <c r="A294" s="2"/>
      <c r="B294" s="2"/>
      <c r="C294" s="2"/>
      <c r="D294" s="2"/>
    </row>
    <row r="295" spans="1:4" s="27" customFormat="1" ht="12.75" customHeight="1" x14ac:dyDescent="0.2">
      <c r="A295" s="2"/>
      <c r="B295" s="2"/>
      <c r="C295" s="2"/>
      <c r="D295" s="2"/>
    </row>
    <row r="296" spans="1:4" s="27" customFormat="1" ht="12.75" customHeight="1" x14ac:dyDescent="0.2">
      <c r="A296" s="2"/>
      <c r="B296" s="2"/>
      <c r="C296" s="2"/>
      <c r="D296" s="2"/>
    </row>
    <row r="297" spans="1:4" s="27" customFormat="1" ht="12.75" customHeight="1" x14ac:dyDescent="0.2">
      <c r="A297" s="2"/>
      <c r="B297" s="2"/>
      <c r="C297" s="2"/>
      <c r="D297" s="2"/>
    </row>
    <row r="298" spans="1:4" s="27" customFormat="1" ht="12.75" customHeight="1" x14ac:dyDescent="0.2">
      <c r="A298" s="2"/>
      <c r="B298" s="2"/>
      <c r="C298" s="2"/>
      <c r="D298" s="2"/>
    </row>
    <row r="299" spans="1:4" s="27" customFormat="1" ht="12.75" customHeight="1" x14ac:dyDescent="0.2">
      <c r="A299" s="2"/>
      <c r="B299" s="2"/>
      <c r="C299" s="2"/>
      <c r="D299" s="2"/>
    </row>
    <row r="300" spans="1:4" s="27" customFormat="1" ht="12.75" customHeight="1" x14ac:dyDescent="0.2">
      <c r="A300" s="2"/>
      <c r="B300" s="2"/>
      <c r="C300" s="2"/>
      <c r="D300" s="2"/>
    </row>
    <row r="301" spans="1:4" s="27" customFormat="1" ht="12.75" customHeight="1" x14ac:dyDescent="0.2">
      <c r="A301" s="2"/>
      <c r="B301" s="2"/>
      <c r="C301" s="2"/>
      <c r="D301" s="2"/>
    </row>
    <row r="302" spans="1:4" s="27" customFormat="1" ht="12.75" customHeight="1" x14ac:dyDescent="0.2">
      <c r="A302" s="2"/>
      <c r="B302" s="2"/>
      <c r="C302" s="2"/>
      <c r="D302" s="2"/>
    </row>
    <row r="303" spans="1:4" s="27" customFormat="1" ht="12.75" customHeight="1" x14ac:dyDescent="0.2">
      <c r="A303" s="2"/>
      <c r="B303" s="2"/>
      <c r="C303" s="2"/>
      <c r="D303" s="2"/>
    </row>
    <row r="304" spans="1:4" s="27" customFormat="1" ht="12.75" customHeight="1" x14ac:dyDescent="0.2">
      <c r="A304" s="2"/>
      <c r="B304" s="2"/>
      <c r="C304" s="2"/>
      <c r="D304" s="2"/>
    </row>
    <row r="305" spans="1:4" s="27" customFormat="1" ht="12.75" customHeight="1" x14ac:dyDescent="0.2">
      <c r="A305" s="2"/>
      <c r="B305" s="2"/>
      <c r="C305" s="2"/>
      <c r="D305" s="2"/>
    </row>
    <row r="306" spans="1:4" s="27" customFormat="1" ht="12.75" customHeight="1" x14ac:dyDescent="0.2">
      <c r="A306" s="2"/>
      <c r="B306" s="2"/>
      <c r="C306" s="2"/>
      <c r="D306" s="2"/>
    </row>
    <row r="307" spans="1:4" s="27" customFormat="1" ht="12.75" customHeight="1" x14ac:dyDescent="0.2">
      <c r="A307" s="2"/>
      <c r="B307" s="2"/>
      <c r="C307" s="2"/>
      <c r="D307" s="2"/>
    </row>
    <row r="308" spans="1:4" s="27" customFormat="1" ht="12.75" customHeight="1" x14ac:dyDescent="0.2">
      <c r="A308" s="2"/>
      <c r="B308" s="2"/>
      <c r="C308" s="2"/>
      <c r="D308" s="2"/>
    </row>
    <row r="309" spans="1:4" s="27" customFormat="1" ht="12.75" customHeight="1" x14ac:dyDescent="0.2">
      <c r="A309" s="2"/>
      <c r="B309" s="2"/>
      <c r="C309" s="2"/>
      <c r="D309" s="2"/>
    </row>
    <row r="310" spans="1:4" s="27" customFormat="1" ht="12.75" customHeight="1" x14ac:dyDescent="0.2">
      <c r="A310" s="2"/>
      <c r="B310" s="2"/>
      <c r="C310" s="2"/>
      <c r="D310" s="2"/>
    </row>
    <row r="311" spans="1:4" s="27" customFormat="1" ht="12.75" customHeight="1" x14ac:dyDescent="0.2">
      <c r="A311" s="2"/>
      <c r="B311" s="2"/>
      <c r="C311" s="2"/>
      <c r="D311" s="2"/>
    </row>
    <row r="312" spans="1:4" s="27" customFormat="1" ht="12.75" customHeight="1" x14ac:dyDescent="0.2">
      <c r="A312" s="2"/>
      <c r="B312" s="2"/>
      <c r="C312" s="2"/>
      <c r="D312" s="2"/>
    </row>
    <row r="313" spans="1:4" s="27" customFormat="1" ht="12.75" customHeight="1" x14ac:dyDescent="0.2">
      <c r="A313" s="2"/>
      <c r="B313" s="2"/>
      <c r="C313" s="2"/>
      <c r="D313" s="2"/>
    </row>
    <row r="314" spans="1:4" s="27" customFormat="1" ht="12.75" customHeight="1" x14ac:dyDescent="0.2">
      <c r="A314" s="2"/>
      <c r="B314" s="2"/>
      <c r="C314" s="2"/>
      <c r="D314" s="2"/>
    </row>
    <row r="315" spans="1:4" s="27" customFormat="1" ht="12.75" customHeight="1" x14ac:dyDescent="0.2">
      <c r="A315" s="2"/>
      <c r="B315" s="2"/>
      <c r="C315" s="2"/>
      <c r="D315" s="2"/>
    </row>
    <row r="316" spans="1:4" s="27" customFormat="1" ht="12.75" customHeight="1" x14ac:dyDescent="0.2">
      <c r="A316" s="2"/>
      <c r="B316" s="2"/>
      <c r="C316" s="2"/>
      <c r="D316" s="2"/>
    </row>
    <row r="317" spans="1:4" s="27" customFormat="1" ht="12.75" customHeight="1" x14ac:dyDescent="0.2">
      <c r="A317" s="2"/>
      <c r="B317" s="2"/>
      <c r="C317" s="2"/>
      <c r="D317" s="2"/>
    </row>
    <row r="318" spans="1:4" s="27" customFormat="1" ht="12.75" customHeight="1" x14ac:dyDescent="0.2">
      <c r="A318" s="2"/>
      <c r="B318" s="2"/>
      <c r="C318" s="2"/>
      <c r="D318" s="2"/>
    </row>
    <row r="319" spans="1:4" s="27" customFormat="1" ht="12.75" customHeight="1" x14ac:dyDescent="0.2">
      <c r="A319" s="2"/>
      <c r="B319" s="2"/>
      <c r="C319" s="2"/>
      <c r="D319" s="2"/>
    </row>
    <row r="320" spans="1:4" s="27" customFormat="1" ht="12.75" customHeight="1" x14ac:dyDescent="0.2">
      <c r="A320" s="2"/>
      <c r="B320" s="2"/>
      <c r="C320" s="2"/>
      <c r="D320" s="2"/>
    </row>
    <row r="321" spans="1:4" s="27" customFormat="1" ht="12.75" customHeight="1" x14ac:dyDescent="0.2">
      <c r="A321" s="2"/>
      <c r="B321" s="2"/>
      <c r="C321" s="2"/>
      <c r="D321" s="2"/>
    </row>
    <row r="322" spans="1:4" s="27" customFormat="1" ht="12.75" customHeight="1" x14ac:dyDescent="0.2">
      <c r="A322" s="2"/>
      <c r="B322" s="2"/>
      <c r="C322" s="2"/>
      <c r="D322" s="2"/>
    </row>
    <row r="323" spans="1:4" s="27" customFormat="1" ht="12.75" customHeight="1" x14ac:dyDescent="0.2">
      <c r="A323" s="2"/>
      <c r="B323" s="2"/>
      <c r="C323" s="2"/>
      <c r="D323" s="2"/>
    </row>
    <row r="324" spans="1:4" s="27" customFormat="1" ht="12.75" customHeight="1" x14ac:dyDescent="0.2">
      <c r="A324" s="2"/>
      <c r="B324" s="2"/>
      <c r="C324" s="2"/>
      <c r="D324" s="2"/>
    </row>
    <row r="325" spans="1:4" s="27" customFormat="1" ht="12.75" customHeight="1" x14ac:dyDescent="0.2">
      <c r="A325" s="2"/>
      <c r="B325" s="2"/>
      <c r="C325" s="2"/>
      <c r="D325" s="2"/>
    </row>
    <row r="326" spans="1:4" s="27" customFormat="1" ht="12.75" customHeight="1" x14ac:dyDescent="0.2">
      <c r="A326" s="2"/>
      <c r="B326" s="2"/>
      <c r="C326" s="2"/>
      <c r="D326" s="2"/>
    </row>
    <row r="327" spans="1:4" s="27" customFormat="1" ht="12.75" customHeight="1" x14ac:dyDescent="0.2">
      <c r="A327" s="2"/>
      <c r="B327" s="2"/>
      <c r="C327" s="2"/>
      <c r="D327" s="2"/>
    </row>
    <row r="328" spans="1:4" s="27" customFormat="1" ht="12.75" customHeight="1" x14ac:dyDescent="0.2">
      <c r="A328" s="2"/>
      <c r="B328" s="2"/>
      <c r="C328" s="2"/>
      <c r="D328" s="2"/>
    </row>
    <row r="329" spans="1:4" s="27" customFormat="1" ht="12.75" customHeight="1" x14ac:dyDescent="0.2">
      <c r="A329" s="2"/>
      <c r="B329" s="2"/>
      <c r="C329" s="2"/>
      <c r="D329" s="2"/>
    </row>
    <row r="330" spans="1:4" s="27" customFormat="1" ht="12.75" customHeight="1" x14ac:dyDescent="0.2">
      <c r="A330" s="2"/>
      <c r="B330" s="2"/>
      <c r="C330" s="2"/>
      <c r="D330" s="2"/>
    </row>
    <row r="331" spans="1:4" s="27" customFormat="1" ht="12.75" customHeight="1" x14ac:dyDescent="0.2">
      <c r="A331" s="2"/>
      <c r="B331" s="2"/>
      <c r="C331" s="2"/>
      <c r="D331" s="2"/>
    </row>
    <row r="332" spans="1:4" s="27" customFormat="1" ht="12.75" customHeight="1" x14ac:dyDescent="0.2">
      <c r="A332" s="2"/>
      <c r="B332" s="2"/>
      <c r="C332" s="2"/>
      <c r="D332" s="2"/>
    </row>
    <row r="333" spans="1:4" s="27" customFormat="1" ht="12.75" customHeight="1" x14ac:dyDescent="0.2">
      <c r="A333" s="2"/>
      <c r="B333" s="2"/>
      <c r="C333" s="2"/>
      <c r="D333" s="2"/>
    </row>
    <row r="334" spans="1:4" s="27" customFormat="1" ht="12.75" customHeight="1" x14ac:dyDescent="0.2">
      <c r="A334" s="2"/>
      <c r="B334" s="2"/>
      <c r="C334" s="2"/>
      <c r="D334" s="2"/>
    </row>
    <row r="335" spans="1:4" s="27" customFormat="1" ht="12.75" customHeight="1" x14ac:dyDescent="0.2">
      <c r="A335" s="2"/>
      <c r="B335" s="2"/>
      <c r="C335" s="2"/>
      <c r="D335" s="2"/>
    </row>
    <row r="336" spans="1:4" s="27" customFormat="1" ht="12.75" customHeight="1" x14ac:dyDescent="0.2">
      <c r="A336" s="2"/>
      <c r="B336" s="2"/>
      <c r="C336" s="2"/>
      <c r="D336" s="2"/>
    </row>
    <row r="337" spans="1:4" s="27" customFormat="1" ht="12.75" customHeight="1" x14ac:dyDescent="0.2">
      <c r="A337" s="2"/>
      <c r="B337" s="2"/>
      <c r="C337" s="2"/>
      <c r="D337" s="2"/>
    </row>
    <row r="338" spans="1:4" s="27" customFormat="1" ht="12.75" customHeight="1" x14ac:dyDescent="0.2">
      <c r="A338" s="2"/>
      <c r="B338" s="2"/>
      <c r="C338" s="2"/>
      <c r="D338" s="2"/>
    </row>
    <row r="339" spans="1:4" s="27" customFormat="1" ht="12.75" customHeight="1" x14ac:dyDescent="0.2">
      <c r="A339" s="2"/>
      <c r="B339" s="2"/>
      <c r="C339" s="2"/>
      <c r="D339" s="2"/>
    </row>
    <row r="340" spans="1:4" s="27" customFormat="1" ht="12.75" customHeight="1" x14ac:dyDescent="0.2">
      <c r="A340" s="2"/>
      <c r="B340" s="2"/>
      <c r="C340" s="2"/>
      <c r="D340" s="2"/>
    </row>
    <row r="341" spans="1:4" s="27" customFormat="1" ht="12.75" customHeight="1" x14ac:dyDescent="0.2">
      <c r="A341" s="2"/>
      <c r="B341" s="2"/>
      <c r="C341" s="2"/>
      <c r="D341" s="2"/>
    </row>
    <row r="342" spans="1:4" s="27" customFormat="1" ht="12.75" customHeight="1" x14ac:dyDescent="0.2">
      <c r="A342" s="2"/>
      <c r="B342" s="2"/>
      <c r="C342" s="2"/>
      <c r="D342" s="2"/>
    </row>
    <row r="343" spans="1:4" s="27" customFormat="1" ht="12.75" customHeight="1" x14ac:dyDescent="0.2">
      <c r="A343" s="2"/>
      <c r="B343" s="2"/>
      <c r="C343" s="2"/>
      <c r="D343" s="2"/>
    </row>
    <row r="344" spans="1:4" s="27" customFormat="1" ht="12.75" customHeight="1" x14ac:dyDescent="0.2">
      <c r="A344" s="2"/>
      <c r="B344" s="2"/>
      <c r="C344" s="2"/>
      <c r="D344" s="2"/>
    </row>
    <row r="345" spans="1:4" s="27" customFormat="1" ht="12.75" customHeight="1" x14ac:dyDescent="0.2">
      <c r="A345" s="2"/>
      <c r="B345" s="2"/>
      <c r="C345" s="2"/>
      <c r="D345" s="2"/>
    </row>
    <row r="346" spans="1:4" s="27" customFormat="1" ht="12.75" customHeight="1" x14ac:dyDescent="0.2">
      <c r="A346" s="2"/>
      <c r="B346" s="2"/>
      <c r="C346" s="2"/>
      <c r="D346" s="2"/>
    </row>
    <row r="347" spans="1:4" s="27" customFormat="1" ht="12.75" customHeight="1" x14ac:dyDescent="0.2">
      <c r="A347" s="2"/>
      <c r="B347" s="2"/>
      <c r="C347" s="2"/>
      <c r="D347" s="2"/>
    </row>
    <row r="348" spans="1:4" s="27" customFormat="1" ht="12.75" customHeight="1" x14ac:dyDescent="0.2">
      <c r="A348" s="2"/>
      <c r="B348" s="2"/>
      <c r="C348" s="2"/>
      <c r="D348" s="2"/>
    </row>
    <row r="349" spans="1:4" s="27" customFormat="1" ht="12.75" customHeight="1" x14ac:dyDescent="0.2">
      <c r="A349" s="2"/>
      <c r="B349" s="2"/>
      <c r="C349" s="2"/>
      <c r="D349" s="2"/>
    </row>
    <row r="350" spans="1:4" s="27" customFormat="1" ht="12.75" customHeight="1" x14ac:dyDescent="0.2">
      <c r="A350" s="2"/>
      <c r="B350" s="2"/>
      <c r="C350" s="2"/>
      <c r="D350" s="2"/>
    </row>
    <row r="351" spans="1:4" s="27" customFormat="1" ht="12.75" customHeight="1" x14ac:dyDescent="0.2">
      <c r="A351" s="2"/>
      <c r="B351" s="2"/>
      <c r="C351" s="2"/>
      <c r="D351" s="2"/>
    </row>
    <row r="352" spans="1:4" s="27" customFormat="1" ht="12.75" customHeight="1" x14ac:dyDescent="0.2">
      <c r="A352" s="2"/>
      <c r="B352" s="2"/>
      <c r="C352" s="2"/>
      <c r="D352" s="2"/>
    </row>
    <row r="353" spans="1:4" s="27" customFormat="1" ht="12.75" customHeight="1" x14ac:dyDescent="0.2">
      <c r="A353" s="2"/>
      <c r="B353" s="2"/>
      <c r="C353" s="2"/>
      <c r="D353" s="2"/>
    </row>
    <row r="354" spans="1:4" s="27" customFormat="1" ht="12.75" customHeight="1" x14ac:dyDescent="0.2">
      <c r="A354" s="2"/>
      <c r="B354" s="2"/>
      <c r="C354" s="2"/>
      <c r="D354" s="2"/>
    </row>
    <row r="355" spans="1:4" s="27" customFormat="1" ht="12.75" customHeight="1" x14ac:dyDescent="0.2">
      <c r="A355" s="2"/>
      <c r="B355" s="2"/>
      <c r="C355" s="2"/>
      <c r="D355" s="2"/>
    </row>
    <row r="356" spans="1:4" s="27" customFormat="1" ht="12.75" customHeight="1" x14ac:dyDescent="0.2">
      <c r="A356" s="2"/>
      <c r="B356" s="2"/>
      <c r="C356" s="2"/>
      <c r="D356" s="2"/>
    </row>
    <row r="357" spans="1:4" s="27" customFormat="1" ht="12.75" customHeight="1" x14ac:dyDescent="0.2">
      <c r="A357" s="2"/>
      <c r="B357" s="2"/>
      <c r="C357" s="2"/>
      <c r="D357" s="2"/>
    </row>
    <row r="358" spans="1:4" s="27" customFormat="1" ht="12.75" customHeight="1" x14ac:dyDescent="0.2">
      <c r="A358" s="2"/>
      <c r="B358" s="2"/>
      <c r="C358" s="2"/>
      <c r="D358" s="2"/>
    </row>
    <row r="359" spans="1:4" s="27" customFormat="1" ht="12.75" customHeight="1" x14ac:dyDescent="0.2">
      <c r="A359" s="2"/>
      <c r="B359" s="2"/>
      <c r="C359" s="2"/>
      <c r="D359" s="2"/>
    </row>
    <row r="360" spans="1:4" s="27" customFormat="1" ht="12.75" customHeight="1" x14ac:dyDescent="0.2">
      <c r="A360" s="2"/>
      <c r="B360" s="2"/>
      <c r="C360" s="2"/>
      <c r="D360" s="2"/>
    </row>
    <row r="361" spans="1:4" s="27" customFormat="1" ht="12.75" customHeight="1" x14ac:dyDescent="0.2">
      <c r="A361" s="2"/>
      <c r="B361" s="2"/>
      <c r="C361" s="2"/>
      <c r="D361" s="2"/>
    </row>
    <row r="362" spans="1:4" s="27" customFormat="1" ht="12.75" customHeight="1" x14ac:dyDescent="0.2">
      <c r="A362" s="2"/>
      <c r="B362" s="2"/>
      <c r="C362" s="2"/>
      <c r="D362" s="2"/>
    </row>
    <row r="363" spans="1:4" s="27" customFormat="1" ht="12.75" customHeight="1" x14ac:dyDescent="0.2">
      <c r="A363" s="2"/>
      <c r="B363" s="2"/>
      <c r="C363" s="2"/>
      <c r="D363" s="2"/>
    </row>
    <row r="364" spans="1:4" s="27" customFormat="1" ht="12.75" customHeight="1" x14ac:dyDescent="0.2">
      <c r="A364" s="2"/>
      <c r="B364" s="2"/>
      <c r="C364" s="2"/>
      <c r="D364" s="2"/>
    </row>
    <row r="365" spans="1:4" s="27" customFormat="1" ht="12.75" customHeight="1" x14ac:dyDescent="0.2">
      <c r="A365" s="2"/>
      <c r="B365" s="2"/>
      <c r="C365" s="2"/>
      <c r="D365" s="2"/>
    </row>
    <row r="366" spans="1:4" s="27" customFormat="1" ht="12.75" customHeight="1" x14ac:dyDescent="0.2">
      <c r="A366" s="2"/>
      <c r="B366" s="2"/>
      <c r="C366" s="2"/>
      <c r="D366" s="2"/>
    </row>
    <row r="367" spans="1:4" s="27" customFormat="1" ht="12.75" customHeight="1" x14ac:dyDescent="0.2">
      <c r="A367" s="2"/>
      <c r="B367" s="2"/>
      <c r="C367" s="2"/>
      <c r="D367" s="2"/>
    </row>
    <row r="368" spans="1:4" s="27" customFormat="1" ht="12.75" customHeight="1" x14ac:dyDescent="0.2">
      <c r="A368" s="2"/>
      <c r="B368" s="2"/>
      <c r="C368" s="2"/>
      <c r="D368" s="2"/>
    </row>
    <row r="369" spans="1:4" s="27" customFormat="1" ht="12.75" customHeight="1" x14ac:dyDescent="0.2">
      <c r="A369" s="2"/>
      <c r="B369" s="2"/>
      <c r="C369" s="2"/>
      <c r="D369" s="2"/>
    </row>
    <row r="370" spans="1:4" s="27" customFormat="1" ht="12.75" customHeight="1" x14ac:dyDescent="0.2">
      <c r="A370" s="2"/>
      <c r="B370" s="2"/>
      <c r="C370" s="2"/>
      <c r="D370" s="2"/>
    </row>
    <row r="371" spans="1:4" s="27" customFormat="1" ht="12.75" customHeight="1" x14ac:dyDescent="0.2">
      <c r="A371" s="2"/>
      <c r="B371" s="2"/>
      <c r="C371" s="2"/>
      <c r="D371" s="2"/>
    </row>
    <row r="372" spans="1:4" s="27" customFormat="1" ht="12.75" customHeight="1" x14ac:dyDescent="0.2">
      <c r="A372" s="2"/>
      <c r="B372" s="2"/>
      <c r="C372" s="2"/>
      <c r="D372" s="2"/>
    </row>
    <row r="373" spans="1:4" s="27" customFormat="1" ht="12.75" customHeight="1" x14ac:dyDescent="0.2">
      <c r="A373" s="2"/>
      <c r="B373" s="2"/>
      <c r="C373" s="2"/>
      <c r="D373" s="2"/>
    </row>
    <row r="374" spans="1:4" s="27" customFormat="1" ht="12.75" customHeight="1" x14ac:dyDescent="0.2">
      <c r="A374" s="2"/>
      <c r="B374" s="2"/>
      <c r="C374" s="2"/>
      <c r="D374" s="2"/>
    </row>
    <row r="375" spans="1:4" s="27" customFormat="1" ht="12.75" customHeight="1" x14ac:dyDescent="0.2">
      <c r="A375" s="2"/>
      <c r="B375" s="2"/>
      <c r="C375" s="2"/>
      <c r="D375" s="2"/>
    </row>
    <row r="376" spans="1:4" s="27" customFormat="1" ht="12.75" customHeight="1" x14ac:dyDescent="0.2">
      <c r="A376" s="2"/>
      <c r="B376" s="2"/>
      <c r="C376" s="2"/>
      <c r="D376" s="2"/>
    </row>
    <row r="377" spans="1:4" s="27" customFormat="1" ht="12.75" customHeight="1" x14ac:dyDescent="0.2">
      <c r="A377" s="2"/>
      <c r="B377" s="2"/>
      <c r="C377" s="2"/>
      <c r="D377" s="2"/>
    </row>
    <row r="378" spans="1:4" s="27" customFormat="1" ht="12.75" customHeight="1" x14ac:dyDescent="0.2">
      <c r="A378" s="2"/>
      <c r="B378" s="2"/>
      <c r="C378" s="2"/>
      <c r="D378" s="2"/>
    </row>
    <row r="379" spans="1:4" s="27" customFormat="1" ht="12.75" customHeight="1" x14ac:dyDescent="0.2">
      <c r="A379" s="2"/>
      <c r="B379" s="2"/>
      <c r="C379" s="2"/>
      <c r="D379" s="2"/>
    </row>
    <row r="380" spans="1:4" s="27" customFormat="1" ht="12.75" customHeight="1" x14ac:dyDescent="0.2">
      <c r="A380" s="2"/>
      <c r="B380" s="2"/>
      <c r="C380" s="2"/>
      <c r="D380" s="2"/>
    </row>
    <row r="381" spans="1:4" s="27" customFormat="1" ht="12.75" customHeight="1" x14ac:dyDescent="0.2">
      <c r="A381" s="2"/>
      <c r="B381" s="2"/>
      <c r="C381" s="2"/>
      <c r="D381" s="2"/>
    </row>
    <row r="382" spans="1:4" s="27" customFormat="1" ht="12.75" customHeight="1" x14ac:dyDescent="0.2">
      <c r="A382" s="2"/>
      <c r="B382" s="2"/>
      <c r="C382" s="2"/>
      <c r="D382" s="2"/>
    </row>
    <row r="383" spans="1:4" s="27" customFormat="1" ht="12.75" customHeight="1" x14ac:dyDescent="0.2">
      <c r="A383" s="2"/>
      <c r="B383" s="2"/>
      <c r="C383" s="2"/>
      <c r="D383" s="2"/>
    </row>
    <row r="384" spans="1:4" s="27" customFormat="1" ht="12.75" customHeight="1" x14ac:dyDescent="0.2">
      <c r="A384" s="2"/>
      <c r="B384" s="2"/>
      <c r="C384" s="2"/>
      <c r="D384" s="2"/>
    </row>
    <row r="385" spans="1:4" s="27" customFormat="1" ht="12.75" customHeight="1" x14ac:dyDescent="0.2">
      <c r="A385" s="2"/>
      <c r="B385" s="2"/>
      <c r="C385" s="2"/>
      <c r="D385" s="2"/>
    </row>
    <row r="386" spans="1:4" s="27" customFormat="1" ht="12.75" customHeight="1" x14ac:dyDescent="0.2">
      <c r="A386" s="2"/>
      <c r="B386" s="2"/>
      <c r="C386" s="2"/>
      <c r="D386" s="2"/>
    </row>
    <row r="387" spans="1:4" s="27" customFormat="1" ht="12.75" customHeight="1" x14ac:dyDescent="0.2">
      <c r="A387" s="2"/>
      <c r="B387" s="2"/>
      <c r="C387" s="2"/>
      <c r="D387" s="2"/>
    </row>
    <row r="388" spans="1:4" s="27" customFormat="1" ht="12.75" customHeight="1" x14ac:dyDescent="0.2">
      <c r="A388" s="2"/>
      <c r="B388" s="2"/>
      <c r="C388" s="2"/>
      <c r="D388" s="2"/>
    </row>
    <row r="389" spans="1:4" s="27" customFormat="1" ht="12.75" customHeight="1" x14ac:dyDescent="0.2">
      <c r="A389" s="2"/>
      <c r="B389" s="2"/>
      <c r="C389" s="2"/>
      <c r="D389" s="2"/>
    </row>
    <row r="390" spans="1:4" s="27" customFormat="1" ht="12.75" customHeight="1" x14ac:dyDescent="0.2">
      <c r="A390" s="2"/>
      <c r="B390" s="2"/>
      <c r="C390" s="2"/>
      <c r="D390" s="2"/>
    </row>
    <row r="391" spans="1:4" s="27" customFormat="1" ht="12.75" customHeight="1" x14ac:dyDescent="0.2">
      <c r="A391" s="2"/>
      <c r="B391" s="2"/>
      <c r="C391" s="2"/>
      <c r="D391" s="2"/>
    </row>
    <row r="392" spans="1:4" s="27" customFormat="1" ht="12.75" customHeight="1" x14ac:dyDescent="0.2">
      <c r="A392" s="2"/>
      <c r="B392" s="2"/>
      <c r="C392" s="2"/>
      <c r="D392" s="2"/>
    </row>
    <row r="393" spans="1:4" s="27" customFormat="1" ht="12.75" customHeight="1" x14ac:dyDescent="0.2">
      <c r="A393" s="2"/>
      <c r="B393" s="2"/>
      <c r="C393" s="2"/>
      <c r="D393" s="2"/>
    </row>
    <row r="394" spans="1:4" s="27" customFormat="1" ht="12.75" customHeight="1" x14ac:dyDescent="0.2">
      <c r="A394" s="2"/>
      <c r="B394" s="2"/>
      <c r="C394" s="2"/>
      <c r="D394" s="2"/>
    </row>
    <row r="395" spans="1:4" s="27" customFormat="1" ht="12.75" customHeight="1" x14ac:dyDescent="0.2">
      <c r="A395" s="2"/>
      <c r="B395" s="2"/>
      <c r="C395" s="2"/>
      <c r="D395" s="2"/>
    </row>
    <row r="396" spans="1:4" s="27" customFormat="1" ht="12.75" customHeight="1" x14ac:dyDescent="0.2">
      <c r="A396" s="2"/>
      <c r="B396" s="2"/>
      <c r="C396" s="2"/>
      <c r="D396" s="2"/>
    </row>
    <row r="397" spans="1:4" s="27" customFormat="1" ht="12.75" customHeight="1" x14ac:dyDescent="0.2">
      <c r="A397" s="2"/>
      <c r="B397" s="2"/>
      <c r="C397" s="2"/>
      <c r="D397" s="2"/>
    </row>
    <row r="398" spans="1:4" s="27" customFormat="1" ht="12.75" customHeight="1" x14ac:dyDescent="0.2">
      <c r="A398" s="2"/>
      <c r="B398" s="2"/>
      <c r="C398" s="2"/>
      <c r="D398" s="2"/>
    </row>
    <row r="399" spans="1:4" s="27" customFormat="1" ht="12.75" customHeight="1" x14ac:dyDescent="0.2">
      <c r="A399" s="2"/>
      <c r="B399" s="2"/>
      <c r="C399" s="2"/>
      <c r="D399" s="2"/>
    </row>
    <row r="400" spans="1:4" s="27" customFormat="1" ht="12.75" customHeight="1" x14ac:dyDescent="0.2">
      <c r="A400" s="2"/>
      <c r="B400" s="2"/>
      <c r="C400" s="2"/>
      <c r="D400" s="2"/>
    </row>
    <row r="401" spans="1:4" s="27" customFormat="1" ht="12.75" customHeight="1" x14ac:dyDescent="0.2">
      <c r="A401" s="2"/>
      <c r="B401" s="2"/>
      <c r="C401" s="2"/>
      <c r="D401" s="2"/>
    </row>
    <row r="402" spans="1:4" s="27" customFormat="1" ht="12.75" customHeight="1" x14ac:dyDescent="0.2">
      <c r="A402" s="2"/>
      <c r="B402" s="2"/>
      <c r="C402" s="2"/>
      <c r="D402" s="2"/>
    </row>
    <row r="403" spans="1:4" s="27" customFormat="1" ht="12.75" customHeight="1" x14ac:dyDescent="0.2">
      <c r="A403" s="2"/>
      <c r="B403" s="2"/>
      <c r="C403" s="2"/>
      <c r="D403" s="2"/>
    </row>
    <row r="404" spans="1:4" s="27" customFormat="1" ht="12.75" customHeight="1" x14ac:dyDescent="0.2">
      <c r="A404" s="2"/>
      <c r="B404" s="2"/>
      <c r="C404" s="2"/>
      <c r="D404" s="2"/>
    </row>
    <row r="405" spans="1:4" s="27" customFormat="1" ht="12.75" customHeight="1" x14ac:dyDescent="0.2">
      <c r="A405" s="2"/>
      <c r="B405" s="2"/>
      <c r="C405" s="2"/>
      <c r="D405" s="2"/>
    </row>
    <row r="406" spans="1:4" s="27" customFormat="1" ht="12.75" customHeight="1" x14ac:dyDescent="0.2">
      <c r="A406" s="2"/>
      <c r="B406" s="2"/>
      <c r="C406" s="2"/>
      <c r="D406" s="2"/>
    </row>
    <row r="407" spans="1:4" s="27" customFormat="1" ht="12.75" customHeight="1" x14ac:dyDescent="0.2">
      <c r="A407" s="2"/>
      <c r="B407" s="2"/>
      <c r="C407" s="2"/>
      <c r="D407" s="2"/>
    </row>
    <row r="408" spans="1:4" s="27" customFormat="1" ht="12.75" customHeight="1" x14ac:dyDescent="0.2">
      <c r="A408" s="2"/>
      <c r="B408" s="2"/>
      <c r="C408" s="2"/>
      <c r="D408" s="2"/>
    </row>
    <row r="409" spans="1:4" s="27" customFormat="1" ht="12.75" customHeight="1" x14ac:dyDescent="0.2">
      <c r="A409" s="2"/>
      <c r="B409" s="2"/>
      <c r="C409" s="2"/>
      <c r="D409" s="2"/>
    </row>
    <row r="410" spans="1:4" s="27" customFormat="1" ht="12.75" customHeight="1" x14ac:dyDescent="0.2">
      <c r="A410" s="2"/>
      <c r="B410" s="2"/>
      <c r="C410" s="2"/>
      <c r="D410" s="2"/>
    </row>
    <row r="411" spans="1:4" s="27" customFormat="1" ht="12.75" customHeight="1" x14ac:dyDescent="0.2">
      <c r="A411" s="2"/>
      <c r="B411" s="2"/>
      <c r="C411" s="2"/>
      <c r="D411" s="2"/>
    </row>
    <row r="412" spans="1:4" s="27" customFormat="1" ht="12.75" customHeight="1" x14ac:dyDescent="0.2">
      <c r="A412" s="2"/>
      <c r="B412" s="2"/>
      <c r="C412" s="2"/>
      <c r="D412" s="2"/>
    </row>
    <row r="413" spans="1:4" s="27" customFormat="1" ht="12.75" customHeight="1" x14ac:dyDescent="0.2">
      <c r="A413" s="2"/>
      <c r="B413" s="2"/>
      <c r="C413" s="2"/>
      <c r="D413" s="2"/>
    </row>
    <row r="414" spans="1:4" s="27" customFormat="1" ht="12.75" customHeight="1" x14ac:dyDescent="0.2">
      <c r="A414" s="2"/>
      <c r="B414" s="2"/>
      <c r="C414" s="2"/>
      <c r="D414" s="2"/>
    </row>
    <row r="415" spans="1:4" s="27" customFormat="1" ht="12.75" customHeight="1" x14ac:dyDescent="0.2">
      <c r="A415" s="2"/>
      <c r="B415" s="2"/>
      <c r="C415" s="2"/>
      <c r="D415" s="2"/>
    </row>
    <row r="416" spans="1:4" s="27" customFormat="1" ht="12.75" customHeight="1" x14ac:dyDescent="0.2">
      <c r="A416" s="2"/>
      <c r="B416" s="2"/>
      <c r="C416" s="2"/>
      <c r="D416" s="2"/>
    </row>
    <row r="417" spans="1:4" s="27" customFormat="1" ht="12.75" customHeight="1" x14ac:dyDescent="0.2">
      <c r="A417" s="2"/>
      <c r="B417" s="2"/>
      <c r="C417" s="2"/>
      <c r="D417" s="2"/>
    </row>
    <row r="418" spans="1:4" s="27" customFormat="1" ht="12.75" customHeight="1" x14ac:dyDescent="0.2">
      <c r="A418" s="2"/>
      <c r="B418" s="2"/>
      <c r="C418" s="2"/>
      <c r="D418" s="2"/>
    </row>
    <row r="419" spans="1:4" s="27" customFormat="1" ht="12.75" customHeight="1" x14ac:dyDescent="0.2">
      <c r="A419" s="2"/>
      <c r="B419" s="2"/>
      <c r="C419" s="2"/>
      <c r="D419" s="2"/>
    </row>
    <row r="420" spans="1:4" s="27" customFormat="1" ht="12.75" customHeight="1" x14ac:dyDescent="0.2">
      <c r="A420" s="2"/>
      <c r="B420" s="2"/>
      <c r="C420" s="2"/>
      <c r="D420" s="2"/>
    </row>
    <row r="421" spans="1:4" s="27" customFormat="1" ht="12.75" customHeight="1" x14ac:dyDescent="0.2">
      <c r="A421" s="2"/>
      <c r="B421" s="2"/>
      <c r="C421" s="2"/>
      <c r="D421" s="2"/>
    </row>
    <row r="422" spans="1:4" s="27" customFormat="1" ht="12.75" customHeight="1" x14ac:dyDescent="0.2">
      <c r="A422" s="2"/>
      <c r="B422" s="2"/>
      <c r="C422" s="2"/>
      <c r="D422" s="2"/>
    </row>
    <row r="423" spans="1:4" s="27" customFormat="1" ht="12.75" customHeight="1" x14ac:dyDescent="0.2">
      <c r="A423" s="2"/>
      <c r="B423" s="2"/>
      <c r="C423" s="2"/>
      <c r="D423" s="2"/>
    </row>
    <row r="424" spans="1:4" s="27" customFormat="1" ht="12.75" customHeight="1" x14ac:dyDescent="0.2">
      <c r="A424" s="2"/>
      <c r="B424" s="2"/>
      <c r="C424" s="2"/>
      <c r="D424" s="2"/>
    </row>
    <row r="425" spans="1:4" s="27" customFormat="1" ht="12.75" customHeight="1" x14ac:dyDescent="0.2">
      <c r="A425" s="2"/>
      <c r="B425" s="2"/>
      <c r="C425" s="2"/>
      <c r="D425" s="2"/>
    </row>
    <row r="426" spans="1:4" s="27" customFormat="1" ht="12.75" customHeight="1" x14ac:dyDescent="0.2">
      <c r="A426" s="2"/>
      <c r="B426" s="2"/>
      <c r="C426" s="2"/>
      <c r="D426" s="2"/>
    </row>
    <row r="427" spans="1:4" s="27" customFormat="1" ht="12.75" customHeight="1" x14ac:dyDescent="0.2">
      <c r="A427" s="2"/>
      <c r="B427" s="2"/>
      <c r="C427" s="2"/>
      <c r="D427" s="2"/>
    </row>
    <row r="428" spans="1:4" s="27" customFormat="1" ht="12.75" customHeight="1" x14ac:dyDescent="0.2">
      <c r="A428" s="2"/>
      <c r="B428" s="2"/>
      <c r="C428" s="2"/>
      <c r="D428" s="2"/>
    </row>
    <row r="429" spans="1:4" s="27" customFormat="1" ht="12.75" customHeight="1" x14ac:dyDescent="0.2">
      <c r="A429" s="2"/>
      <c r="B429" s="2"/>
      <c r="C429" s="2"/>
      <c r="D429" s="2"/>
    </row>
    <row r="430" spans="1:4" s="27" customFormat="1" ht="12.75" customHeight="1" x14ac:dyDescent="0.2">
      <c r="A430" s="2"/>
      <c r="B430" s="2"/>
      <c r="C430" s="2"/>
      <c r="D430" s="2"/>
    </row>
    <row r="431" spans="1:4" s="27" customFormat="1" ht="12.75" customHeight="1" x14ac:dyDescent="0.2">
      <c r="A431" s="2"/>
      <c r="B431" s="2"/>
      <c r="C431" s="2"/>
      <c r="D431" s="2"/>
    </row>
    <row r="432" spans="1:4" s="27" customFormat="1" ht="12.75" customHeight="1" x14ac:dyDescent="0.2">
      <c r="A432" s="2"/>
      <c r="B432" s="2"/>
      <c r="C432" s="2"/>
      <c r="D432" s="2"/>
    </row>
    <row r="433" spans="1:4" s="27" customFormat="1" ht="12.75" customHeight="1" x14ac:dyDescent="0.2">
      <c r="A433" s="2"/>
      <c r="B433" s="2"/>
      <c r="C433" s="2"/>
      <c r="D433" s="2"/>
    </row>
    <row r="434" spans="1:4" s="27" customFormat="1" ht="12.75" customHeight="1" x14ac:dyDescent="0.2">
      <c r="A434" s="2"/>
      <c r="B434" s="2"/>
      <c r="C434" s="2"/>
      <c r="D434" s="2"/>
    </row>
    <row r="435" spans="1:4" s="27" customFormat="1" ht="12.75" customHeight="1" x14ac:dyDescent="0.2">
      <c r="A435" s="2"/>
      <c r="B435" s="2"/>
      <c r="C435" s="2"/>
      <c r="D435" s="2"/>
    </row>
    <row r="436" spans="1:4" s="27" customFormat="1" ht="12.75" customHeight="1" x14ac:dyDescent="0.2">
      <c r="A436" s="2"/>
      <c r="B436" s="2"/>
      <c r="C436" s="2"/>
      <c r="D436" s="2"/>
    </row>
    <row r="437" spans="1:4" s="27" customFormat="1" ht="12.75" customHeight="1" x14ac:dyDescent="0.2">
      <c r="A437" s="2"/>
      <c r="B437" s="2"/>
      <c r="C437" s="2"/>
      <c r="D437" s="2"/>
    </row>
    <row r="438" spans="1:4" s="27" customFormat="1" ht="12.75" customHeight="1" x14ac:dyDescent="0.2">
      <c r="A438" s="2"/>
      <c r="B438" s="2"/>
      <c r="C438" s="2"/>
      <c r="D438" s="2"/>
    </row>
    <row r="439" spans="1:4" s="27" customFormat="1" ht="12.75" customHeight="1" x14ac:dyDescent="0.2">
      <c r="A439" s="2"/>
      <c r="B439" s="2"/>
      <c r="C439" s="2"/>
      <c r="D439" s="2"/>
    </row>
    <row r="440" spans="1:4" s="27" customFormat="1" ht="12.75" customHeight="1" x14ac:dyDescent="0.2">
      <c r="A440" s="2"/>
      <c r="B440" s="2"/>
      <c r="C440" s="2"/>
      <c r="D440" s="2"/>
    </row>
    <row r="441" spans="1:4" s="27" customFormat="1" ht="12.75" customHeight="1" x14ac:dyDescent="0.2">
      <c r="A441" s="2"/>
      <c r="B441" s="2"/>
      <c r="C441" s="2"/>
      <c r="D441" s="2"/>
    </row>
    <row r="442" spans="1:4" s="27" customFormat="1" ht="12.75" customHeight="1" x14ac:dyDescent="0.2">
      <c r="A442" s="2"/>
      <c r="B442" s="2"/>
      <c r="C442" s="2"/>
      <c r="D442" s="2"/>
    </row>
    <row r="443" spans="1:4" s="27" customFormat="1" ht="12.75" customHeight="1" x14ac:dyDescent="0.2">
      <c r="A443" s="2"/>
      <c r="B443" s="2"/>
      <c r="C443" s="2"/>
      <c r="D443" s="2"/>
    </row>
    <row r="444" spans="1:4" s="27" customFormat="1" ht="12.75" customHeight="1" x14ac:dyDescent="0.2">
      <c r="A444" s="2"/>
      <c r="B444" s="2"/>
      <c r="C444" s="2"/>
      <c r="D444" s="2"/>
    </row>
    <row r="445" spans="1:4" s="27" customFormat="1" ht="12.75" customHeight="1" x14ac:dyDescent="0.2">
      <c r="A445" s="2"/>
      <c r="B445" s="2"/>
      <c r="C445" s="2"/>
      <c r="D445" s="2"/>
    </row>
    <row r="446" spans="1:4" s="27" customFormat="1" ht="12.75" customHeight="1" x14ac:dyDescent="0.2">
      <c r="A446" s="2"/>
      <c r="B446" s="2"/>
      <c r="C446" s="2"/>
      <c r="D446" s="2"/>
    </row>
    <row r="447" spans="1:4" s="27" customFormat="1" ht="12.75" customHeight="1" x14ac:dyDescent="0.2">
      <c r="A447" s="2"/>
      <c r="B447" s="2"/>
      <c r="C447" s="2"/>
      <c r="D447" s="2"/>
    </row>
    <row r="448" spans="1:4" s="27" customFormat="1" ht="12.75" customHeight="1" x14ac:dyDescent="0.2">
      <c r="A448" s="2"/>
      <c r="B448" s="2"/>
      <c r="C448" s="2"/>
      <c r="D448" s="2"/>
    </row>
    <row r="449" spans="1:4" s="27" customFormat="1" ht="12.75" customHeight="1" x14ac:dyDescent="0.2">
      <c r="A449" s="2"/>
      <c r="B449" s="2"/>
      <c r="C449" s="2"/>
      <c r="D449" s="2"/>
    </row>
    <row r="450" spans="1:4" s="27" customFormat="1" ht="12.75" customHeight="1" x14ac:dyDescent="0.2">
      <c r="A450" s="2"/>
      <c r="B450" s="2"/>
      <c r="C450" s="2"/>
      <c r="D450" s="2"/>
    </row>
    <row r="451" spans="1:4" s="27" customFormat="1" ht="12.75" customHeight="1" x14ac:dyDescent="0.2">
      <c r="A451" s="2"/>
      <c r="B451" s="2"/>
      <c r="C451" s="2"/>
      <c r="D451" s="2"/>
    </row>
    <row r="452" spans="1:4" s="27" customFormat="1" ht="12.75" customHeight="1" x14ac:dyDescent="0.2">
      <c r="A452" s="2"/>
      <c r="B452" s="2"/>
      <c r="C452" s="2"/>
      <c r="D452" s="2"/>
    </row>
    <row r="453" spans="1:4" s="27" customFormat="1" ht="12.75" customHeight="1" x14ac:dyDescent="0.2">
      <c r="A453" s="2"/>
      <c r="B453" s="2"/>
      <c r="C453" s="2"/>
      <c r="D453" s="2"/>
    </row>
    <row r="454" spans="1:4" s="27" customFormat="1" ht="12.75" customHeight="1" x14ac:dyDescent="0.2">
      <c r="A454" s="2"/>
      <c r="B454" s="2"/>
      <c r="C454" s="2"/>
      <c r="D454" s="2"/>
    </row>
    <row r="455" spans="1:4" s="27" customFormat="1" ht="12.75" customHeight="1" x14ac:dyDescent="0.2">
      <c r="A455" s="2"/>
      <c r="B455" s="2"/>
      <c r="C455" s="2"/>
      <c r="D455" s="2"/>
    </row>
    <row r="456" spans="1:4" s="27" customFormat="1" ht="12.75" customHeight="1" x14ac:dyDescent="0.2">
      <c r="A456" s="2"/>
      <c r="B456" s="2"/>
      <c r="C456" s="2"/>
      <c r="D456" s="2"/>
    </row>
    <row r="457" spans="1:4" s="27" customFormat="1" ht="12.75" customHeight="1" x14ac:dyDescent="0.2">
      <c r="A457" s="2"/>
      <c r="B457" s="2"/>
      <c r="C457" s="2"/>
      <c r="D457" s="2"/>
    </row>
    <row r="458" spans="1:4" s="27" customFormat="1" ht="12.75" customHeight="1" x14ac:dyDescent="0.2">
      <c r="A458" s="2"/>
      <c r="B458" s="2"/>
      <c r="C458" s="2"/>
      <c r="D458" s="2"/>
    </row>
    <row r="459" spans="1:4" s="27" customFormat="1" ht="12.75" customHeight="1" x14ac:dyDescent="0.2">
      <c r="A459" s="2"/>
      <c r="B459" s="2"/>
      <c r="C459" s="2"/>
      <c r="D459" s="2"/>
    </row>
    <row r="460" spans="1:4" s="27" customFormat="1" ht="12.75" customHeight="1" x14ac:dyDescent="0.2">
      <c r="A460" s="2"/>
      <c r="B460" s="2"/>
      <c r="C460" s="2"/>
      <c r="D460" s="2"/>
    </row>
    <row r="461" spans="1:4" s="27" customFormat="1" ht="12.75" customHeight="1" x14ac:dyDescent="0.2">
      <c r="A461" s="2"/>
      <c r="B461" s="2"/>
      <c r="C461" s="2"/>
      <c r="D461" s="2"/>
    </row>
    <row r="462" spans="1:4" s="27" customFormat="1" ht="12.75" customHeight="1" x14ac:dyDescent="0.2">
      <c r="A462" s="2"/>
      <c r="B462" s="2"/>
      <c r="C462" s="2"/>
      <c r="D462" s="2"/>
    </row>
    <row r="463" spans="1:4" s="27" customFormat="1" ht="12.75" customHeight="1" x14ac:dyDescent="0.2">
      <c r="A463" s="2"/>
      <c r="B463" s="2"/>
      <c r="C463" s="2"/>
      <c r="D463" s="2"/>
    </row>
    <row r="464" spans="1:4" s="27" customFormat="1" ht="12.75" customHeight="1" x14ac:dyDescent="0.2">
      <c r="A464" s="2"/>
      <c r="B464" s="2"/>
      <c r="C464" s="2"/>
      <c r="D464" s="2"/>
    </row>
    <row r="465" spans="1:4" s="27" customFormat="1" ht="12.75" customHeight="1" x14ac:dyDescent="0.2">
      <c r="A465" s="2"/>
      <c r="B465" s="2"/>
      <c r="C465" s="2"/>
      <c r="D465" s="2"/>
    </row>
    <row r="466" spans="1:4" s="27" customFormat="1" ht="12.75" customHeight="1" x14ac:dyDescent="0.2">
      <c r="A466" s="2"/>
      <c r="B466" s="2"/>
      <c r="C466" s="2"/>
      <c r="D466" s="2"/>
    </row>
    <row r="467" spans="1:4" s="27" customFormat="1" ht="12.75" customHeight="1" x14ac:dyDescent="0.2">
      <c r="A467" s="2"/>
      <c r="B467" s="2"/>
      <c r="C467" s="2"/>
      <c r="D467" s="2"/>
    </row>
    <row r="468" spans="1:4" s="27" customFormat="1" ht="12.75" customHeight="1" x14ac:dyDescent="0.2">
      <c r="A468" s="2"/>
      <c r="B468" s="2"/>
      <c r="C468" s="2"/>
      <c r="D468" s="2"/>
    </row>
    <row r="469" spans="1:4" s="27" customFormat="1" ht="12.75" customHeight="1" x14ac:dyDescent="0.2">
      <c r="A469" s="2"/>
      <c r="B469" s="2"/>
      <c r="C469" s="2"/>
      <c r="D469" s="2"/>
    </row>
    <row r="470" spans="1:4" s="27" customFormat="1" ht="12.75" customHeight="1" x14ac:dyDescent="0.2">
      <c r="A470" s="2"/>
      <c r="B470" s="2"/>
      <c r="C470" s="2"/>
      <c r="D470" s="2"/>
    </row>
    <row r="471" spans="1:4" s="27" customFormat="1" ht="12.75" customHeight="1" x14ac:dyDescent="0.2">
      <c r="A471" s="2"/>
      <c r="B471" s="2"/>
      <c r="C471" s="2"/>
      <c r="D471" s="2"/>
    </row>
    <row r="472" spans="1:4" s="27" customFormat="1" ht="12.75" customHeight="1" x14ac:dyDescent="0.2">
      <c r="A472" s="2"/>
      <c r="B472" s="2"/>
      <c r="C472" s="2"/>
      <c r="D472" s="2"/>
    </row>
    <row r="473" spans="1:4" s="27" customFormat="1" ht="12.75" customHeight="1" x14ac:dyDescent="0.2">
      <c r="A473" s="2"/>
      <c r="B473" s="2"/>
      <c r="C473" s="2"/>
      <c r="D473" s="2"/>
    </row>
    <row r="474" spans="1:4" s="27" customFormat="1" ht="12.75" customHeight="1" x14ac:dyDescent="0.2">
      <c r="A474" s="2"/>
      <c r="B474" s="2"/>
      <c r="C474" s="2"/>
      <c r="D474" s="2"/>
    </row>
    <row r="475" spans="1:4" s="27" customFormat="1" ht="12.75" customHeight="1" x14ac:dyDescent="0.2">
      <c r="A475" s="2"/>
      <c r="B475" s="2"/>
      <c r="C475" s="2"/>
      <c r="D475" s="2"/>
    </row>
    <row r="476" spans="1:4" s="27" customFormat="1" ht="12.75" customHeight="1" x14ac:dyDescent="0.2">
      <c r="A476" s="2"/>
      <c r="B476" s="2"/>
      <c r="C476" s="2"/>
      <c r="D476" s="2"/>
    </row>
    <row r="477" spans="1:4" s="27" customFormat="1" ht="12.75" customHeight="1" x14ac:dyDescent="0.2">
      <c r="A477" s="2"/>
      <c r="B477" s="2"/>
      <c r="C477" s="2"/>
      <c r="D477" s="2"/>
    </row>
    <row r="478" spans="1:4" s="27" customFormat="1" ht="12.75" customHeight="1" x14ac:dyDescent="0.2">
      <c r="A478" s="2"/>
      <c r="B478" s="2"/>
      <c r="C478" s="2"/>
      <c r="D478" s="2"/>
    </row>
    <row r="479" spans="1:4" s="27" customFormat="1" ht="12.75" customHeight="1" x14ac:dyDescent="0.2">
      <c r="A479" s="2"/>
      <c r="B479" s="2"/>
      <c r="C479" s="2"/>
      <c r="D479" s="2"/>
    </row>
    <row r="480" spans="1:4" s="27" customFormat="1" ht="12.75" customHeight="1" x14ac:dyDescent="0.2">
      <c r="A480" s="2"/>
      <c r="B480" s="2"/>
      <c r="C480" s="2"/>
      <c r="D480" s="2"/>
    </row>
    <row r="481" spans="1:4" s="27" customFormat="1" ht="12.75" customHeight="1" x14ac:dyDescent="0.2">
      <c r="A481" s="2"/>
      <c r="B481" s="2"/>
      <c r="C481" s="2"/>
      <c r="D481" s="2"/>
    </row>
    <row r="482" spans="1:4" s="27" customFormat="1" ht="12.75" customHeight="1" x14ac:dyDescent="0.2">
      <c r="A482" s="2"/>
      <c r="B482" s="2"/>
      <c r="C482" s="2"/>
      <c r="D482" s="2"/>
    </row>
    <row r="483" spans="1:4" s="27" customFormat="1" ht="12.75" customHeight="1" x14ac:dyDescent="0.2">
      <c r="A483" s="2"/>
      <c r="B483" s="2"/>
      <c r="C483" s="2"/>
      <c r="D483" s="2"/>
    </row>
    <row r="484" spans="1:4" s="27" customFormat="1" ht="12.75" customHeight="1" x14ac:dyDescent="0.2">
      <c r="A484" s="2"/>
      <c r="B484" s="2"/>
      <c r="C484" s="2"/>
      <c r="D484" s="2"/>
    </row>
    <row r="485" spans="1:4" s="27" customFormat="1" ht="12.75" customHeight="1" x14ac:dyDescent="0.2">
      <c r="A485" s="2"/>
      <c r="B485" s="2"/>
      <c r="C485" s="2"/>
      <c r="D485" s="2"/>
    </row>
    <row r="486" spans="1:4" s="27" customFormat="1" ht="12.75" customHeight="1" x14ac:dyDescent="0.2">
      <c r="A486" s="2"/>
      <c r="B486" s="2"/>
      <c r="C486" s="2"/>
      <c r="D486" s="2"/>
    </row>
    <row r="487" spans="1:4" s="27" customFormat="1" ht="12.75" customHeight="1" x14ac:dyDescent="0.2">
      <c r="A487" s="2"/>
      <c r="B487" s="2"/>
      <c r="C487" s="2"/>
      <c r="D487" s="2"/>
    </row>
    <row r="488" spans="1:4" s="27" customFormat="1" ht="12.75" customHeight="1" x14ac:dyDescent="0.2">
      <c r="A488" s="2"/>
      <c r="B488" s="2"/>
      <c r="C488" s="2"/>
      <c r="D488" s="2"/>
    </row>
    <row r="489" spans="1:4" s="27" customFormat="1" ht="12.75" customHeight="1" x14ac:dyDescent="0.2">
      <c r="A489" s="2"/>
      <c r="B489" s="2"/>
      <c r="C489" s="2"/>
      <c r="D489" s="2"/>
    </row>
    <row r="490" spans="1:4" s="27" customFormat="1" ht="12.75" customHeight="1" x14ac:dyDescent="0.2">
      <c r="A490" s="2"/>
      <c r="B490" s="2"/>
      <c r="C490" s="2"/>
      <c r="D490" s="2"/>
    </row>
    <row r="491" spans="1:4" s="27" customFormat="1" ht="12.75" customHeight="1" x14ac:dyDescent="0.2">
      <c r="A491" s="2"/>
      <c r="B491" s="2"/>
      <c r="C491" s="2"/>
      <c r="D491" s="2"/>
    </row>
    <row r="492" spans="1:4" s="27" customFormat="1" ht="12.75" customHeight="1" x14ac:dyDescent="0.2">
      <c r="A492" s="2"/>
      <c r="B492" s="2"/>
      <c r="C492" s="2"/>
      <c r="D492" s="2"/>
    </row>
    <row r="493" spans="1:4" s="27" customFormat="1" ht="12.75" customHeight="1" x14ac:dyDescent="0.2">
      <c r="A493" s="2"/>
      <c r="B493" s="2"/>
      <c r="C493" s="2"/>
      <c r="D493" s="2"/>
    </row>
    <row r="494" spans="1:4" s="27" customFormat="1" ht="12.75" customHeight="1" x14ac:dyDescent="0.2">
      <c r="A494" s="2"/>
      <c r="B494" s="2"/>
      <c r="C494" s="2"/>
      <c r="D494" s="2"/>
    </row>
    <row r="495" spans="1:4" s="27" customFormat="1" ht="12.75" customHeight="1" x14ac:dyDescent="0.2">
      <c r="A495" s="2"/>
      <c r="B495" s="2"/>
      <c r="C495" s="2"/>
      <c r="D495" s="2"/>
    </row>
    <row r="496" spans="1:4" s="27" customFormat="1" ht="12.75" customHeight="1" x14ac:dyDescent="0.2">
      <c r="A496" s="2"/>
      <c r="B496" s="2"/>
      <c r="C496" s="2"/>
      <c r="D496" s="2"/>
    </row>
    <row r="497" spans="1:4" s="27" customFormat="1" ht="12.75" customHeight="1" x14ac:dyDescent="0.2">
      <c r="A497" s="2"/>
      <c r="B497" s="2"/>
      <c r="C497" s="2"/>
      <c r="D497" s="2"/>
    </row>
    <row r="498" spans="1:4" s="27" customFormat="1" ht="12.75" customHeight="1" x14ac:dyDescent="0.2">
      <c r="A498" s="2"/>
      <c r="B498" s="2"/>
      <c r="C498" s="2"/>
      <c r="D498" s="2"/>
    </row>
    <row r="499" spans="1:4" s="27" customFormat="1" ht="12.75" customHeight="1" x14ac:dyDescent="0.2">
      <c r="A499" s="2"/>
      <c r="B499" s="2"/>
      <c r="C499" s="2"/>
      <c r="D499" s="2"/>
    </row>
    <row r="500" spans="1:4" s="27" customFormat="1" ht="12.75" customHeight="1" x14ac:dyDescent="0.2">
      <c r="A500" s="2"/>
      <c r="B500" s="2"/>
      <c r="C500" s="2"/>
      <c r="D500" s="2"/>
    </row>
    <row r="501" spans="1:4" s="27" customFormat="1" ht="12.75" customHeight="1" x14ac:dyDescent="0.2">
      <c r="A501" s="2"/>
      <c r="B501" s="2"/>
      <c r="C501" s="2"/>
      <c r="D501" s="2"/>
    </row>
    <row r="502" spans="1:4" s="27" customFormat="1" ht="12.75" customHeight="1" x14ac:dyDescent="0.2">
      <c r="A502" s="2"/>
      <c r="B502" s="2"/>
      <c r="C502" s="2"/>
      <c r="D502" s="2"/>
    </row>
    <row r="503" spans="1:4" s="27" customFormat="1" ht="12.75" customHeight="1" x14ac:dyDescent="0.2">
      <c r="A503" s="2"/>
      <c r="B503" s="2"/>
      <c r="C503" s="2"/>
      <c r="D503" s="2"/>
    </row>
    <row r="504" spans="1:4" s="27" customFormat="1" ht="12.75" customHeight="1" x14ac:dyDescent="0.2">
      <c r="A504" s="2"/>
      <c r="B504" s="2"/>
      <c r="C504" s="2"/>
      <c r="D504" s="2"/>
    </row>
    <row r="505" spans="1:4" s="27" customFormat="1" ht="12.75" customHeight="1" x14ac:dyDescent="0.2">
      <c r="A505" s="2"/>
      <c r="B505" s="2"/>
      <c r="C505" s="2"/>
      <c r="D505" s="2"/>
    </row>
    <row r="506" spans="1:4" s="27" customFormat="1" ht="12.75" customHeight="1" x14ac:dyDescent="0.2">
      <c r="A506" s="2"/>
      <c r="B506" s="2"/>
      <c r="C506" s="2"/>
      <c r="D506" s="2"/>
    </row>
    <row r="507" spans="1:4" s="27" customFormat="1" ht="12.75" customHeight="1" x14ac:dyDescent="0.2">
      <c r="A507" s="2"/>
      <c r="B507" s="2"/>
      <c r="C507" s="2"/>
      <c r="D507" s="2"/>
    </row>
    <row r="508" spans="1:4" s="27" customFormat="1" ht="12.75" customHeight="1" x14ac:dyDescent="0.2">
      <c r="A508" s="2"/>
      <c r="B508" s="2"/>
      <c r="C508" s="2"/>
      <c r="D508" s="2"/>
    </row>
    <row r="509" spans="1:4" s="27" customFormat="1" ht="12.75" customHeight="1" x14ac:dyDescent="0.2">
      <c r="A509" s="2"/>
      <c r="B509" s="2"/>
      <c r="C509" s="2"/>
      <c r="D509" s="2"/>
    </row>
    <row r="510" spans="1:4" s="27" customFormat="1" ht="12.75" customHeight="1" x14ac:dyDescent="0.2">
      <c r="A510" s="2"/>
      <c r="B510" s="2"/>
      <c r="C510" s="2"/>
      <c r="D510" s="2"/>
    </row>
    <row r="511" spans="1:4" s="27" customFormat="1" ht="12.75" customHeight="1" x14ac:dyDescent="0.2">
      <c r="A511" s="2"/>
      <c r="B511" s="2"/>
      <c r="C511" s="2"/>
      <c r="D511" s="2"/>
    </row>
    <row r="512" spans="1:4" s="27" customFormat="1" ht="12.75" customHeight="1" x14ac:dyDescent="0.2">
      <c r="A512" s="2"/>
      <c r="B512" s="2"/>
      <c r="C512" s="2"/>
      <c r="D512" s="2"/>
    </row>
    <row r="513" spans="1:4" s="27" customFormat="1" ht="12.75" customHeight="1" x14ac:dyDescent="0.2">
      <c r="A513" s="2"/>
      <c r="B513" s="2"/>
      <c r="C513" s="2"/>
      <c r="D513" s="2"/>
    </row>
    <row r="514" spans="1:4" s="27" customFormat="1" ht="12.75" customHeight="1" x14ac:dyDescent="0.2">
      <c r="A514" s="2"/>
      <c r="B514" s="2"/>
      <c r="C514" s="2"/>
      <c r="D514" s="2"/>
    </row>
    <row r="515" spans="1:4" s="27" customFormat="1" ht="12.75" customHeight="1" x14ac:dyDescent="0.2">
      <c r="A515" s="2"/>
      <c r="B515" s="2"/>
      <c r="C515" s="2"/>
      <c r="D515" s="2"/>
    </row>
    <row r="516" spans="1:4" s="27" customFormat="1" ht="12.75" customHeight="1" x14ac:dyDescent="0.2">
      <c r="A516" s="2"/>
      <c r="B516" s="2"/>
      <c r="C516" s="2"/>
      <c r="D516" s="2"/>
    </row>
    <row r="517" spans="1:4" s="27" customFormat="1" ht="12.75" customHeight="1" x14ac:dyDescent="0.2">
      <c r="A517" s="2"/>
      <c r="B517" s="2"/>
      <c r="C517" s="2"/>
      <c r="D517" s="2"/>
    </row>
    <row r="518" spans="1:4" s="27" customFormat="1" ht="12.75" customHeight="1" x14ac:dyDescent="0.2">
      <c r="A518" s="2"/>
      <c r="B518" s="2"/>
      <c r="C518" s="2"/>
      <c r="D518" s="2"/>
    </row>
    <row r="519" spans="1:4" s="27" customFormat="1" ht="12.75" customHeight="1" x14ac:dyDescent="0.2">
      <c r="A519" s="2"/>
      <c r="B519" s="2"/>
      <c r="C519" s="2"/>
      <c r="D519" s="2"/>
    </row>
    <row r="520" spans="1:4" s="27" customFormat="1" ht="12.75" customHeight="1" x14ac:dyDescent="0.2">
      <c r="A520" s="2"/>
      <c r="B520" s="2"/>
      <c r="C520" s="2"/>
      <c r="D520" s="2"/>
    </row>
    <row r="521" spans="1:4" s="27" customFormat="1" ht="12.75" customHeight="1" x14ac:dyDescent="0.2">
      <c r="A521" s="2"/>
      <c r="B521" s="2"/>
      <c r="C521" s="2"/>
      <c r="D521" s="2"/>
    </row>
    <row r="522" spans="1:4" s="27" customFormat="1" ht="12.75" customHeight="1" x14ac:dyDescent="0.2">
      <c r="A522" s="2"/>
      <c r="B522" s="2"/>
      <c r="C522" s="2"/>
      <c r="D522" s="2"/>
    </row>
    <row r="523" spans="1:4" s="27" customFormat="1" ht="12.75" customHeight="1" x14ac:dyDescent="0.2">
      <c r="A523" s="2"/>
      <c r="B523" s="2"/>
      <c r="C523" s="2"/>
      <c r="D523" s="2"/>
    </row>
    <row r="524" spans="1:4" s="27" customFormat="1" ht="12.75" customHeight="1" x14ac:dyDescent="0.2">
      <c r="A524" s="2"/>
      <c r="B524" s="2"/>
      <c r="C524" s="2"/>
      <c r="D524" s="2"/>
    </row>
    <row r="525" spans="1:4" s="27" customFormat="1" ht="12.75" customHeight="1" x14ac:dyDescent="0.2">
      <c r="A525" s="2"/>
      <c r="B525" s="2"/>
      <c r="C525" s="2"/>
      <c r="D525" s="2"/>
    </row>
    <row r="526" spans="1:4" s="27" customFormat="1" ht="12.75" customHeight="1" x14ac:dyDescent="0.2">
      <c r="A526" s="2"/>
      <c r="B526" s="2"/>
      <c r="C526" s="2"/>
      <c r="D526" s="2"/>
    </row>
    <row r="527" spans="1:4" s="27" customFormat="1" ht="12.75" customHeight="1" x14ac:dyDescent="0.2">
      <c r="A527" s="2"/>
      <c r="B527" s="2"/>
      <c r="C527" s="2"/>
      <c r="D527" s="2"/>
    </row>
    <row r="528" spans="1:4" s="27" customFormat="1" ht="12.75" customHeight="1" x14ac:dyDescent="0.2">
      <c r="A528" s="2"/>
      <c r="B528" s="2"/>
      <c r="C528" s="2"/>
      <c r="D528" s="2"/>
    </row>
    <row r="529" spans="1:4" s="27" customFormat="1" ht="12.75" customHeight="1" x14ac:dyDescent="0.2">
      <c r="A529" s="2"/>
      <c r="B529" s="2"/>
      <c r="C529" s="2"/>
      <c r="D529" s="2"/>
    </row>
    <row r="530" spans="1:4" s="27" customFormat="1" ht="12.75" customHeight="1" x14ac:dyDescent="0.2">
      <c r="A530" s="2"/>
      <c r="B530" s="2"/>
      <c r="C530" s="2"/>
      <c r="D530" s="2"/>
    </row>
    <row r="531" spans="1:4" s="27" customFormat="1" ht="12.75" customHeight="1" x14ac:dyDescent="0.2">
      <c r="A531" s="2"/>
      <c r="B531" s="2"/>
      <c r="C531" s="2"/>
      <c r="D531" s="2"/>
    </row>
    <row r="532" spans="1:4" s="27" customFormat="1" ht="12.75" customHeight="1" x14ac:dyDescent="0.2">
      <c r="A532" s="2"/>
      <c r="B532" s="2"/>
      <c r="C532" s="2"/>
      <c r="D532" s="2"/>
    </row>
    <row r="533" spans="1:4" s="27" customFormat="1" ht="12.75" customHeight="1" x14ac:dyDescent="0.2">
      <c r="A533" s="2"/>
      <c r="B533" s="2"/>
      <c r="C533" s="2"/>
      <c r="D533" s="2"/>
    </row>
    <row r="534" spans="1:4" s="27" customFormat="1" ht="12.75" customHeight="1" x14ac:dyDescent="0.2">
      <c r="A534" s="2"/>
      <c r="B534" s="2"/>
      <c r="C534" s="2"/>
      <c r="D534" s="2"/>
    </row>
    <row r="535" spans="1:4" s="27" customFormat="1" ht="12.75" customHeight="1" x14ac:dyDescent="0.2">
      <c r="A535" s="2"/>
      <c r="B535" s="2"/>
      <c r="C535" s="2"/>
      <c r="D535" s="2"/>
    </row>
    <row r="536" spans="1:4" s="27" customFormat="1" ht="12.75" customHeight="1" x14ac:dyDescent="0.2">
      <c r="A536" s="2"/>
      <c r="B536" s="2"/>
      <c r="C536" s="2"/>
      <c r="D536" s="2"/>
    </row>
    <row r="537" spans="1:4" s="27" customFormat="1" ht="12.75" customHeight="1" x14ac:dyDescent="0.2">
      <c r="A537" s="2"/>
      <c r="B537" s="2"/>
      <c r="C537" s="2"/>
      <c r="D537" s="2"/>
    </row>
    <row r="538" spans="1:4" s="27" customFormat="1" ht="12.75" customHeight="1" x14ac:dyDescent="0.2">
      <c r="A538" s="2"/>
      <c r="B538" s="2"/>
      <c r="C538" s="2"/>
      <c r="D538" s="2"/>
    </row>
    <row r="539" spans="1:4" s="27" customFormat="1" ht="12.75" customHeight="1" x14ac:dyDescent="0.2">
      <c r="A539" s="2"/>
      <c r="B539" s="2"/>
      <c r="C539" s="2"/>
      <c r="D539" s="2"/>
    </row>
    <row r="540" spans="1:4" s="27" customFormat="1" ht="12.75" customHeight="1" x14ac:dyDescent="0.2">
      <c r="A540" s="2"/>
      <c r="B540" s="2"/>
      <c r="C540" s="2"/>
      <c r="D540" s="2"/>
    </row>
    <row r="541" spans="1:4" s="27" customFormat="1" ht="12.75" customHeight="1" x14ac:dyDescent="0.2">
      <c r="A541" s="2"/>
      <c r="B541" s="2"/>
      <c r="C541" s="2"/>
      <c r="D541" s="2"/>
    </row>
    <row r="542" spans="1:4" s="27" customFormat="1" ht="12.75" customHeight="1" x14ac:dyDescent="0.2">
      <c r="A542" s="2"/>
      <c r="B542" s="2"/>
      <c r="C542" s="2"/>
      <c r="D542" s="2"/>
    </row>
    <row r="543" spans="1:4" s="27" customFormat="1" ht="12.75" customHeight="1" x14ac:dyDescent="0.2">
      <c r="A543" s="2"/>
      <c r="B543" s="2"/>
      <c r="C543" s="2"/>
      <c r="D543" s="2"/>
    </row>
    <row r="544" spans="1:4" s="27" customFormat="1" ht="12.75" customHeight="1" x14ac:dyDescent="0.2">
      <c r="A544" s="2"/>
      <c r="B544" s="2"/>
      <c r="C544" s="2"/>
      <c r="D544" s="2"/>
    </row>
    <row r="545" spans="1:4" s="27" customFormat="1" ht="12.75" customHeight="1" x14ac:dyDescent="0.2">
      <c r="A545" s="2"/>
      <c r="B545" s="2"/>
      <c r="C545" s="2"/>
      <c r="D545" s="2"/>
    </row>
    <row r="546" spans="1:4" s="27" customFormat="1" ht="12.75" customHeight="1" x14ac:dyDescent="0.2">
      <c r="A546" s="2"/>
      <c r="B546" s="2"/>
      <c r="C546" s="2"/>
      <c r="D546" s="2"/>
    </row>
    <row r="547" spans="1:4" s="27" customFormat="1" ht="12.75" customHeight="1" x14ac:dyDescent="0.2">
      <c r="A547" s="2"/>
      <c r="B547" s="2"/>
      <c r="C547" s="2"/>
      <c r="D547" s="2"/>
    </row>
    <row r="548" spans="1:4" s="27" customFormat="1" ht="12.75" customHeight="1" x14ac:dyDescent="0.2">
      <c r="A548" s="2"/>
      <c r="B548" s="2"/>
      <c r="C548" s="2"/>
      <c r="D548" s="2"/>
    </row>
    <row r="549" spans="1:4" s="27" customFormat="1" ht="12.75" customHeight="1" x14ac:dyDescent="0.2">
      <c r="A549" s="2"/>
      <c r="B549" s="2"/>
      <c r="C549" s="2"/>
      <c r="D549" s="2"/>
    </row>
    <row r="550" spans="1:4" s="27" customFormat="1" ht="12.75" customHeight="1" x14ac:dyDescent="0.2">
      <c r="A550" s="2"/>
      <c r="B550" s="2"/>
      <c r="C550" s="2"/>
      <c r="D550" s="2"/>
    </row>
    <row r="551" spans="1:4" s="27" customFormat="1" ht="12.75" customHeight="1" x14ac:dyDescent="0.2">
      <c r="A551" s="2"/>
      <c r="B551" s="2"/>
      <c r="C551" s="2"/>
      <c r="D551" s="2"/>
    </row>
    <row r="552" spans="1:4" s="27" customFormat="1" ht="12.75" customHeight="1" x14ac:dyDescent="0.2">
      <c r="A552" s="2"/>
      <c r="B552" s="2"/>
      <c r="C552" s="2"/>
      <c r="D552" s="2"/>
    </row>
    <row r="553" spans="1:4" s="27" customFormat="1" ht="12.75" customHeight="1" x14ac:dyDescent="0.2">
      <c r="A553" s="2"/>
      <c r="B553" s="2"/>
      <c r="C553" s="2"/>
      <c r="D553" s="2"/>
    </row>
    <row r="554" spans="1:4" s="27" customFormat="1" ht="12.75" customHeight="1" x14ac:dyDescent="0.2">
      <c r="A554" s="2"/>
      <c r="B554" s="2"/>
      <c r="C554" s="2"/>
      <c r="D554" s="2"/>
    </row>
    <row r="555" spans="1:4" s="27" customFormat="1" ht="12.75" customHeight="1" x14ac:dyDescent="0.2">
      <c r="A555" s="2"/>
      <c r="B555" s="2"/>
      <c r="C555" s="2"/>
      <c r="D555" s="2"/>
    </row>
    <row r="556" spans="1:4" s="27" customFormat="1" ht="12.75" customHeight="1" x14ac:dyDescent="0.2">
      <c r="A556" s="2"/>
      <c r="B556" s="2"/>
      <c r="C556" s="2"/>
      <c r="D556" s="2"/>
    </row>
    <row r="557" spans="1:4" s="27" customFormat="1" ht="12.75" customHeight="1" x14ac:dyDescent="0.2">
      <c r="A557" s="2"/>
      <c r="B557" s="2"/>
      <c r="C557" s="2"/>
      <c r="D557" s="2"/>
    </row>
    <row r="558" spans="1:4" s="27" customFormat="1" ht="12.75" customHeight="1" x14ac:dyDescent="0.2">
      <c r="A558" s="2"/>
      <c r="B558" s="2"/>
      <c r="C558" s="2"/>
      <c r="D558" s="2"/>
    </row>
    <row r="559" spans="1:4" s="27" customFormat="1" ht="12.75" customHeight="1" x14ac:dyDescent="0.2">
      <c r="A559" s="2"/>
      <c r="B559" s="2"/>
      <c r="C559" s="2"/>
      <c r="D559" s="2"/>
    </row>
    <row r="560" spans="1:4" s="27" customFormat="1" ht="12.75" customHeight="1" x14ac:dyDescent="0.2">
      <c r="A560" s="2"/>
      <c r="B560" s="2"/>
      <c r="C560" s="2"/>
      <c r="D560" s="2"/>
    </row>
    <row r="561" spans="1:4" s="27" customFormat="1" ht="12.75" customHeight="1" x14ac:dyDescent="0.2">
      <c r="A561" s="2"/>
      <c r="B561" s="2"/>
      <c r="C561" s="2"/>
      <c r="D561" s="2"/>
    </row>
    <row r="562" spans="1:4" s="27" customFormat="1" ht="12.75" customHeight="1" x14ac:dyDescent="0.2">
      <c r="A562" s="2"/>
      <c r="B562" s="2"/>
      <c r="C562" s="2"/>
      <c r="D562" s="2"/>
    </row>
    <row r="563" spans="1:4" s="27" customFormat="1" ht="12.75" customHeight="1" x14ac:dyDescent="0.2">
      <c r="A563" s="2"/>
      <c r="B563" s="2"/>
      <c r="C563" s="2"/>
      <c r="D563" s="2"/>
    </row>
    <row r="564" spans="1:4" s="27" customFormat="1" ht="12.75" customHeight="1" x14ac:dyDescent="0.2">
      <c r="A564" s="2"/>
      <c r="B564" s="2"/>
      <c r="C564" s="2"/>
      <c r="D564" s="2"/>
    </row>
    <row r="565" spans="1:4" s="27" customFormat="1" ht="12.75" customHeight="1" x14ac:dyDescent="0.2">
      <c r="A565" s="2"/>
      <c r="B565" s="2"/>
      <c r="C565" s="2"/>
      <c r="D565" s="2"/>
    </row>
    <row r="566" spans="1:4" s="27" customFormat="1" ht="12.75" customHeight="1" x14ac:dyDescent="0.2">
      <c r="A566" s="2"/>
      <c r="B566" s="2"/>
      <c r="C566" s="2"/>
      <c r="D566" s="2"/>
    </row>
    <row r="567" spans="1:4" s="27" customFormat="1" ht="12.75" customHeight="1" x14ac:dyDescent="0.2">
      <c r="A567" s="2"/>
      <c r="B567" s="2"/>
      <c r="C567" s="2"/>
      <c r="D567" s="2"/>
    </row>
    <row r="568" spans="1:4" s="27" customFormat="1" ht="12.75" customHeight="1" x14ac:dyDescent="0.2">
      <c r="A568" s="2"/>
      <c r="B568" s="2"/>
      <c r="C568" s="2"/>
      <c r="D568" s="2"/>
    </row>
    <row r="569" spans="1:4" s="27" customFormat="1" ht="12.75" customHeight="1" x14ac:dyDescent="0.2">
      <c r="A569" s="2"/>
      <c r="B569" s="2"/>
      <c r="C569" s="2"/>
      <c r="D569" s="2"/>
    </row>
    <row r="570" spans="1:4" s="27" customFormat="1" ht="12.75" customHeight="1" x14ac:dyDescent="0.2">
      <c r="A570" s="2"/>
      <c r="B570" s="2"/>
      <c r="C570" s="2"/>
      <c r="D570" s="2"/>
    </row>
    <row r="571" spans="1:4" s="27" customFormat="1" ht="12.75" customHeight="1" x14ac:dyDescent="0.2">
      <c r="A571" s="2"/>
      <c r="B571" s="2"/>
      <c r="C571" s="2"/>
      <c r="D571" s="2"/>
    </row>
    <row r="572" spans="1:4" s="27" customFormat="1" ht="12.75" customHeight="1" x14ac:dyDescent="0.2">
      <c r="A572" s="2"/>
      <c r="B572" s="2"/>
      <c r="C572" s="2"/>
      <c r="D572" s="2"/>
    </row>
    <row r="573" spans="1:4" s="27" customFormat="1" ht="12.75" customHeight="1" x14ac:dyDescent="0.2">
      <c r="A573" s="2"/>
      <c r="B573" s="2"/>
      <c r="C573" s="2"/>
      <c r="D573" s="2"/>
    </row>
    <row r="574" spans="1:4" s="27" customFormat="1" ht="12.75" customHeight="1" x14ac:dyDescent="0.2">
      <c r="A574" s="2"/>
      <c r="B574" s="2"/>
      <c r="C574" s="2"/>
      <c r="D574" s="2"/>
    </row>
    <row r="575" spans="1:4" s="27" customFormat="1" ht="12.75" customHeight="1" x14ac:dyDescent="0.2">
      <c r="A575" s="2"/>
      <c r="B575" s="2"/>
      <c r="C575" s="2"/>
      <c r="D575" s="2"/>
    </row>
    <row r="576" spans="1:4" s="27" customFormat="1" ht="12.75" customHeight="1" x14ac:dyDescent="0.2">
      <c r="A576" s="2"/>
      <c r="B576" s="2"/>
      <c r="C576" s="2"/>
      <c r="D576" s="2"/>
    </row>
    <row r="577" spans="1:4" s="27" customFormat="1" ht="12.75" customHeight="1" x14ac:dyDescent="0.2">
      <c r="A577" s="2"/>
      <c r="B577" s="2"/>
      <c r="C577" s="2"/>
      <c r="D577" s="2"/>
    </row>
    <row r="578" spans="1:4" s="27" customFormat="1" ht="12.75" customHeight="1" x14ac:dyDescent="0.2">
      <c r="A578" s="2"/>
      <c r="B578" s="2"/>
      <c r="C578" s="2"/>
      <c r="D578" s="2"/>
    </row>
    <row r="579" spans="1:4" s="27" customFormat="1" ht="12.75" customHeight="1" x14ac:dyDescent="0.2">
      <c r="A579" s="2"/>
      <c r="B579" s="2"/>
      <c r="C579" s="2"/>
      <c r="D579" s="2"/>
    </row>
    <row r="580" spans="1:4" s="27" customFormat="1" ht="12.75" customHeight="1" x14ac:dyDescent="0.2">
      <c r="A580" s="2"/>
      <c r="B580" s="2"/>
      <c r="C580" s="2"/>
      <c r="D580" s="2"/>
    </row>
    <row r="581" spans="1:4" s="27" customFormat="1" ht="12.75" customHeight="1" x14ac:dyDescent="0.2">
      <c r="A581" s="2"/>
      <c r="B581" s="2"/>
      <c r="C581" s="2"/>
      <c r="D581" s="2"/>
    </row>
    <row r="582" spans="1:4" s="27" customFormat="1" ht="12.75" customHeight="1" x14ac:dyDescent="0.2">
      <c r="A582" s="2"/>
      <c r="B582" s="2"/>
      <c r="C582" s="2"/>
      <c r="D582" s="2"/>
    </row>
    <row r="583" spans="1:4" s="27" customFormat="1" ht="12.75" customHeight="1" x14ac:dyDescent="0.2">
      <c r="A583" s="2"/>
      <c r="B583" s="2"/>
      <c r="C583" s="2"/>
      <c r="D583" s="2"/>
    </row>
    <row r="584" spans="1:4" s="27" customFormat="1" ht="12.75" customHeight="1" x14ac:dyDescent="0.2">
      <c r="A584" s="2"/>
      <c r="B584" s="2"/>
      <c r="C584" s="2"/>
      <c r="D584" s="2"/>
    </row>
    <row r="585" spans="1:4" s="27" customFormat="1" ht="12.75" customHeight="1" x14ac:dyDescent="0.2">
      <c r="A585" s="2"/>
      <c r="B585" s="2"/>
      <c r="C585" s="2"/>
      <c r="D585" s="2"/>
    </row>
    <row r="586" spans="1:4" s="27" customFormat="1" ht="12.75" customHeight="1" x14ac:dyDescent="0.2">
      <c r="A586" s="2"/>
      <c r="B586" s="2"/>
      <c r="C586" s="2"/>
      <c r="D586" s="2"/>
    </row>
    <row r="587" spans="1:4" s="27" customFormat="1" ht="12.75" customHeight="1" x14ac:dyDescent="0.2">
      <c r="A587" s="2"/>
      <c r="B587" s="2"/>
      <c r="C587" s="2"/>
      <c r="D587" s="2"/>
    </row>
    <row r="588" spans="1:4" s="27" customFormat="1" ht="12.75" customHeight="1" x14ac:dyDescent="0.2">
      <c r="A588" s="2"/>
      <c r="B588" s="2"/>
      <c r="C588" s="2"/>
      <c r="D588" s="2"/>
    </row>
    <row r="589" spans="1:4" s="27" customFormat="1" ht="12.75" customHeight="1" x14ac:dyDescent="0.2">
      <c r="A589" s="2"/>
      <c r="B589" s="2"/>
      <c r="C589" s="2"/>
      <c r="D589" s="2"/>
    </row>
    <row r="590" spans="1:4" s="27" customFormat="1" ht="12.75" customHeight="1" x14ac:dyDescent="0.2">
      <c r="A590" s="2"/>
      <c r="B590" s="2"/>
      <c r="C590" s="2"/>
      <c r="D590" s="2"/>
    </row>
    <row r="591" spans="1:4" s="27" customFormat="1" ht="12.75" customHeight="1" x14ac:dyDescent="0.2">
      <c r="A591" s="2"/>
      <c r="B591" s="2"/>
      <c r="C591" s="2"/>
      <c r="D591" s="2"/>
    </row>
    <row r="592" spans="1:4" s="27" customFormat="1" ht="12.75" customHeight="1" x14ac:dyDescent="0.2">
      <c r="A592" s="2"/>
      <c r="B592" s="2"/>
      <c r="C592" s="2"/>
      <c r="D592" s="2"/>
    </row>
    <row r="593" spans="1:4" s="27" customFormat="1" ht="12.75" customHeight="1" x14ac:dyDescent="0.2">
      <c r="A593" s="2"/>
      <c r="B593" s="2"/>
      <c r="C593" s="2"/>
      <c r="D593" s="2"/>
    </row>
    <row r="594" spans="1:4" s="27" customFormat="1" ht="12.75" customHeight="1" x14ac:dyDescent="0.2">
      <c r="A594" s="2"/>
      <c r="B594" s="2"/>
      <c r="C594" s="2"/>
      <c r="D594" s="2"/>
    </row>
    <row r="595" spans="1:4" s="27" customFormat="1" ht="12.75" customHeight="1" x14ac:dyDescent="0.2">
      <c r="A595" s="2"/>
      <c r="B595" s="2"/>
      <c r="C595" s="2"/>
      <c r="D595" s="2"/>
    </row>
    <row r="596" spans="1:4" s="27" customFormat="1" ht="12.75" customHeight="1" x14ac:dyDescent="0.2">
      <c r="A596" s="2"/>
      <c r="B596" s="2"/>
      <c r="C596" s="2"/>
      <c r="D596" s="2"/>
    </row>
    <row r="597" spans="1:4" s="27" customFormat="1" ht="12.75" customHeight="1" x14ac:dyDescent="0.2">
      <c r="A597" s="2"/>
      <c r="B597" s="2"/>
      <c r="C597" s="2"/>
      <c r="D597" s="2"/>
    </row>
    <row r="598" spans="1:4" s="27" customFormat="1" ht="12.75" customHeight="1" x14ac:dyDescent="0.2">
      <c r="A598" s="2"/>
      <c r="B598" s="2"/>
      <c r="C598" s="2"/>
      <c r="D598" s="2"/>
    </row>
    <row r="599" spans="1:4" s="27" customFormat="1" ht="12.75" customHeight="1" x14ac:dyDescent="0.2">
      <c r="A599" s="2"/>
      <c r="B599" s="2"/>
      <c r="C599" s="2"/>
      <c r="D599" s="2"/>
    </row>
    <row r="600" spans="1:4" s="27" customFormat="1" ht="12.75" customHeight="1" x14ac:dyDescent="0.2">
      <c r="A600" s="2"/>
      <c r="B600" s="2"/>
      <c r="C600" s="2"/>
      <c r="D600" s="2"/>
    </row>
    <row r="601" spans="1:4" s="27" customFormat="1" ht="12.75" customHeight="1" x14ac:dyDescent="0.2">
      <c r="A601" s="2"/>
      <c r="B601" s="2"/>
      <c r="C601" s="2"/>
      <c r="D601" s="2"/>
    </row>
    <row r="602" spans="1:4" s="27" customFormat="1" ht="12.75" customHeight="1" x14ac:dyDescent="0.2">
      <c r="A602" s="2"/>
      <c r="B602" s="2"/>
      <c r="C602" s="2"/>
      <c r="D602" s="2"/>
    </row>
    <row r="603" spans="1:4" s="27" customFormat="1" ht="12.75" customHeight="1" x14ac:dyDescent="0.2">
      <c r="A603" s="2"/>
      <c r="B603" s="2"/>
      <c r="C603" s="2"/>
      <c r="D603" s="2"/>
    </row>
    <row r="604" spans="1:4" s="27" customFormat="1" ht="12.75" customHeight="1" x14ac:dyDescent="0.2">
      <c r="A604" s="2"/>
      <c r="B604" s="2"/>
      <c r="C604" s="2"/>
      <c r="D604" s="2"/>
    </row>
    <row r="605" spans="1:4" s="27" customFormat="1" ht="12.75" customHeight="1" x14ac:dyDescent="0.2">
      <c r="A605" s="2"/>
      <c r="B605" s="2"/>
      <c r="C605" s="2"/>
      <c r="D605" s="2"/>
    </row>
    <row r="606" spans="1:4" s="27" customFormat="1" ht="12.75" customHeight="1" x14ac:dyDescent="0.2">
      <c r="A606" s="2"/>
      <c r="B606" s="2"/>
      <c r="C606" s="2"/>
      <c r="D606" s="2"/>
    </row>
    <row r="607" spans="1:4" s="27" customFormat="1" ht="12.75" customHeight="1" x14ac:dyDescent="0.2">
      <c r="A607" s="2"/>
      <c r="B607" s="2"/>
      <c r="C607" s="2"/>
      <c r="D607" s="2"/>
    </row>
    <row r="608" spans="1:4" s="27" customFormat="1" ht="12.75" customHeight="1" x14ac:dyDescent="0.2">
      <c r="A608" s="2"/>
      <c r="B608" s="2"/>
      <c r="C608" s="2"/>
      <c r="D608" s="2"/>
    </row>
    <row r="609" spans="1:4" s="27" customFormat="1" ht="12.75" customHeight="1" x14ac:dyDescent="0.2">
      <c r="A609" s="2"/>
      <c r="B609" s="2"/>
      <c r="C609" s="2"/>
      <c r="D609" s="2"/>
    </row>
    <row r="610" spans="1:4" s="27" customFormat="1" ht="12.75" customHeight="1" x14ac:dyDescent="0.2">
      <c r="A610" s="2"/>
      <c r="B610" s="2"/>
      <c r="C610" s="2"/>
      <c r="D610" s="2"/>
    </row>
    <row r="611" spans="1:4" s="27" customFormat="1" ht="12.75" customHeight="1" x14ac:dyDescent="0.2">
      <c r="A611" s="2"/>
      <c r="B611" s="2"/>
      <c r="C611" s="2"/>
      <c r="D611" s="2"/>
    </row>
    <row r="612" spans="1:4" s="27" customFormat="1" ht="12.75" customHeight="1" x14ac:dyDescent="0.2">
      <c r="A612" s="2"/>
      <c r="B612" s="2"/>
      <c r="C612" s="2"/>
      <c r="D612" s="2"/>
    </row>
    <row r="613" spans="1:4" s="27" customFormat="1" ht="12.75" customHeight="1" x14ac:dyDescent="0.2">
      <c r="A613" s="2"/>
      <c r="B613" s="2"/>
      <c r="C613" s="2"/>
      <c r="D613" s="2"/>
    </row>
    <row r="614" spans="1:4" s="27" customFormat="1" ht="12.75" customHeight="1" x14ac:dyDescent="0.2">
      <c r="A614" s="2"/>
      <c r="B614" s="2"/>
      <c r="C614" s="2"/>
      <c r="D614" s="2"/>
    </row>
    <row r="615" spans="1:4" s="27" customFormat="1" ht="12.75" customHeight="1" x14ac:dyDescent="0.2">
      <c r="A615" s="2"/>
      <c r="B615" s="2"/>
      <c r="C615" s="2"/>
      <c r="D615" s="2"/>
    </row>
    <row r="616" spans="1:4" s="27" customFormat="1" ht="12.75" customHeight="1" x14ac:dyDescent="0.2">
      <c r="A616" s="2"/>
      <c r="B616" s="2"/>
      <c r="C616" s="2"/>
      <c r="D616" s="2"/>
    </row>
    <row r="617" spans="1:4" s="27" customFormat="1" ht="12.75" customHeight="1" x14ac:dyDescent="0.2">
      <c r="A617" s="2"/>
      <c r="B617" s="2"/>
      <c r="C617" s="2"/>
      <c r="D617" s="2"/>
    </row>
    <row r="618" spans="1:4" s="27" customFormat="1" ht="12.75" customHeight="1" x14ac:dyDescent="0.2">
      <c r="A618" s="2"/>
      <c r="B618" s="2"/>
      <c r="C618" s="2"/>
      <c r="D618" s="2"/>
    </row>
    <row r="619" spans="1:4" s="27" customFormat="1" ht="12.75" customHeight="1" x14ac:dyDescent="0.2">
      <c r="A619" s="2"/>
      <c r="B619" s="2"/>
      <c r="C619" s="2"/>
      <c r="D619" s="2"/>
    </row>
    <row r="620" spans="1:4" s="27" customFormat="1" ht="12.75" customHeight="1" x14ac:dyDescent="0.2">
      <c r="A620" s="2"/>
      <c r="B620" s="2"/>
      <c r="C620" s="2"/>
      <c r="D620" s="2"/>
    </row>
    <row r="621" spans="1:4" s="27" customFormat="1" ht="12.75" customHeight="1" x14ac:dyDescent="0.2">
      <c r="A621" s="2"/>
      <c r="B621" s="2"/>
      <c r="C621" s="2"/>
      <c r="D621" s="2"/>
    </row>
    <row r="622" spans="1:4" s="27" customFormat="1" ht="12.75" customHeight="1" x14ac:dyDescent="0.2">
      <c r="A622" s="2"/>
      <c r="B622" s="2"/>
      <c r="C622" s="2"/>
      <c r="D622" s="2"/>
    </row>
    <row r="623" spans="1:4" s="27" customFormat="1" ht="12.75" customHeight="1" x14ac:dyDescent="0.2">
      <c r="A623" s="2"/>
      <c r="B623" s="2"/>
      <c r="C623" s="2"/>
      <c r="D623" s="2"/>
    </row>
    <row r="624" spans="1:4" s="27" customFormat="1" ht="12.75" customHeight="1" x14ac:dyDescent="0.2">
      <c r="A624" s="2"/>
      <c r="B624" s="2"/>
      <c r="C624" s="2"/>
      <c r="D624" s="2"/>
    </row>
    <row r="625" spans="1:4" s="27" customFormat="1" ht="12.75" customHeight="1" x14ac:dyDescent="0.2">
      <c r="A625" s="2"/>
      <c r="B625" s="2"/>
      <c r="C625" s="2"/>
      <c r="D625" s="2"/>
    </row>
    <row r="626" spans="1:4" s="27" customFormat="1" ht="12.75" customHeight="1" x14ac:dyDescent="0.2">
      <c r="A626" s="2"/>
      <c r="B626" s="2"/>
      <c r="C626" s="2"/>
      <c r="D626" s="2"/>
    </row>
    <row r="627" spans="1:4" s="27" customFormat="1" ht="12.75" customHeight="1" x14ac:dyDescent="0.2">
      <c r="A627" s="2"/>
      <c r="B627" s="2"/>
      <c r="C627" s="2"/>
      <c r="D627" s="2"/>
    </row>
    <row r="628" spans="1:4" s="27" customFormat="1" ht="12.75" customHeight="1" x14ac:dyDescent="0.2">
      <c r="A628" s="2"/>
      <c r="B628" s="2"/>
      <c r="C628" s="2"/>
      <c r="D628" s="2"/>
    </row>
    <row r="629" spans="1:4" s="27" customFormat="1" ht="12.75" customHeight="1" x14ac:dyDescent="0.2">
      <c r="A629" s="2"/>
      <c r="B629" s="2"/>
      <c r="C629" s="2"/>
      <c r="D629" s="2"/>
    </row>
    <row r="630" spans="1:4" s="27" customFormat="1" ht="12.75" customHeight="1" x14ac:dyDescent="0.2">
      <c r="A630" s="2"/>
      <c r="B630" s="2"/>
      <c r="C630" s="2"/>
      <c r="D630" s="2"/>
    </row>
    <row r="631" spans="1:4" s="27" customFormat="1" ht="12.75" customHeight="1" x14ac:dyDescent="0.2">
      <c r="A631" s="2"/>
      <c r="B631" s="2"/>
      <c r="C631" s="2"/>
      <c r="D631" s="2"/>
    </row>
    <row r="632" spans="1:4" s="27" customFormat="1" ht="12.75" customHeight="1" x14ac:dyDescent="0.2">
      <c r="A632" s="2"/>
      <c r="B632" s="2"/>
      <c r="C632" s="2"/>
      <c r="D632" s="2"/>
    </row>
    <row r="633" spans="1:4" s="27" customFormat="1" ht="12.75" customHeight="1" x14ac:dyDescent="0.2">
      <c r="A633" s="2"/>
      <c r="B633" s="2"/>
      <c r="C633" s="2"/>
      <c r="D633" s="2"/>
    </row>
    <row r="634" spans="1:4" s="27" customFormat="1" ht="12.75" customHeight="1" x14ac:dyDescent="0.2">
      <c r="A634" s="2"/>
      <c r="B634" s="2"/>
      <c r="C634" s="2"/>
      <c r="D634" s="2"/>
    </row>
    <row r="635" spans="1:4" s="27" customFormat="1" ht="12.75" customHeight="1" x14ac:dyDescent="0.2">
      <c r="A635" s="2"/>
      <c r="B635" s="2"/>
      <c r="C635" s="2"/>
      <c r="D635" s="2"/>
    </row>
    <row r="636" spans="1:4" s="27" customFormat="1" ht="12.75" customHeight="1" x14ac:dyDescent="0.2">
      <c r="A636" s="2"/>
      <c r="B636" s="2"/>
      <c r="C636" s="2"/>
      <c r="D636" s="2"/>
    </row>
    <row r="637" spans="1:4" s="27" customFormat="1" ht="12.75" customHeight="1" x14ac:dyDescent="0.2">
      <c r="A637" s="2"/>
      <c r="B637" s="2"/>
      <c r="C637" s="2"/>
      <c r="D637" s="2"/>
    </row>
    <row r="638" spans="1:4" s="27" customFormat="1" ht="12.75" customHeight="1" x14ac:dyDescent="0.2">
      <c r="A638" s="2"/>
      <c r="B638" s="2"/>
      <c r="C638" s="2"/>
      <c r="D638" s="2"/>
    </row>
    <row r="639" spans="1:4" s="27" customFormat="1" ht="12.75" customHeight="1" x14ac:dyDescent="0.2">
      <c r="A639" s="2"/>
      <c r="B639" s="2"/>
      <c r="C639" s="2"/>
      <c r="D639" s="2"/>
    </row>
    <row r="640" spans="1:4" s="27" customFormat="1" ht="12.75" customHeight="1" x14ac:dyDescent="0.2">
      <c r="A640" s="2"/>
      <c r="B640" s="2"/>
      <c r="C640" s="2"/>
      <c r="D640" s="2"/>
    </row>
    <row r="641" spans="1:4" s="27" customFormat="1" ht="12.75" customHeight="1" x14ac:dyDescent="0.2">
      <c r="A641" s="2"/>
      <c r="B641" s="2"/>
      <c r="C641" s="2"/>
      <c r="D641" s="2"/>
    </row>
    <row r="642" spans="1:4" s="27" customFormat="1" ht="12.75" customHeight="1" x14ac:dyDescent="0.2">
      <c r="A642" s="2"/>
      <c r="B642" s="2"/>
      <c r="C642" s="2"/>
      <c r="D642" s="2"/>
    </row>
    <row r="643" spans="1:4" s="27" customFormat="1" ht="12.75" customHeight="1" x14ac:dyDescent="0.2">
      <c r="A643" s="2"/>
      <c r="B643" s="2"/>
      <c r="C643" s="2"/>
      <c r="D643" s="2"/>
    </row>
    <row r="644" spans="1:4" s="27" customFormat="1" ht="12.75" customHeight="1" x14ac:dyDescent="0.2">
      <c r="A644" s="2"/>
      <c r="B644" s="2"/>
      <c r="C644" s="2"/>
      <c r="D644" s="2"/>
    </row>
    <row r="645" spans="1:4" s="27" customFormat="1" ht="12.75" customHeight="1" x14ac:dyDescent="0.2">
      <c r="A645" s="2"/>
      <c r="B645" s="2"/>
      <c r="C645" s="2"/>
      <c r="D645" s="2"/>
    </row>
    <row r="646" spans="1:4" s="27" customFormat="1" ht="12.75" customHeight="1" x14ac:dyDescent="0.2">
      <c r="A646" s="2"/>
      <c r="B646" s="2"/>
      <c r="C646" s="2"/>
      <c r="D646" s="2"/>
    </row>
    <row r="647" spans="1:4" s="27" customFormat="1" ht="12.75" customHeight="1" x14ac:dyDescent="0.2">
      <c r="A647" s="2"/>
      <c r="B647" s="2"/>
      <c r="C647" s="2"/>
      <c r="D647" s="2"/>
    </row>
    <row r="648" spans="1:4" s="27" customFormat="1" ht="12.75" customHeight="1" x14ac:dyDescent="0.2">
      <c r="A648" s="2"/>
      <c r="B648" s="2"/>
      <c r="C648" s="2"/>
      <c r="D648" s="2"/>
    </row>
    <row r="649" spans="1:4" s="27" customFormat="1" ht="12.75" customHeight="1" x14ac:dyDescent="0.2">
      <c r="A649" s="2"/>
      <c r="B649" s="2"/>
      <c r="C649" s="2"/>
      <c r="D649" s="2"/>
    </row>
    <row r="650" spans="1:4" s="27" customFormat="1" ht="12.75" customHeight="1" x14ac:dyDescent="0.2">
      <c r="A650" s="2"/>
      <c r="B650" s="2"/>
      <c r="C650" s="2"/>
      <c r="D650" s="2"/>
    </row>
    <row r="651" spans="1:4" s="27" customFormat="1" ht="12.75" customHeight="1" x14ac:dyDescent="0.2">
      <c r="A651" s="2"/>
      <c r="B651" s="2"/>
      <c r="C651" s="2"/>
      <c r="D651" s="2"/>
    </row>
    <row r="652" spans="1:4" s="27" customFormat="1" ht="12.75" customHeight="1" x14ac:dyDescent="0.2">
      <c r="A652" s="2"/>
      <c r="B652" s="2"/>
      <c r="C652" s="2"/>
      <c r="D652" s="2"/>
    </row>
    <row r="653" spans="1:4" s="27" customFormat="1" ht="12.75" customHeight="1" x14ac:dyDescent="0.2">
      <c r="A653" s="2"/>
      <c r="B653" s="2"/>
      <c r="C653" s="2"/>
      <c r="D653" s="2"/>
    </row>
    <row r="654" spans="1:4" s="27" customFormat="1" ht="12.75" customHeight="1" x14ac:dyDescent="0.2">
      <c r="A654" s="2"/>
      <c r="B654" s="2"/>
      <c r="C654" s="2"/>
      <c r="D654" s="2"/>
    </row>
    <row r="655" spans="1:4" s="27" customFormat="1" ht="12.75" customHeight="1" x14ac:dyDescent="0.2">
      <c r="A655" s="2"/>
      <c r="B655" s="2"/>
      <c r="C655" s="2"/>
      <c r="D655" s="2"/>
    </row>
    <row r="656" spans="1:4" s="27" customFormat="1" ht="12.75" customHeight="1" x14ac:dyDescent="0.2">
      <c r="A656" s="2"/>
      <c r="B656" s="2"/>
      <c r="C656" s="2"/>
      <c r="D656" s="2"/>
    </row>
    <row r="657" spans="1:4" s="27" customFormat="1" ht="12.75" customHeight="1" x14ac:dyDescent="0.2">
      <c r="A657" s="2"/>
      <c r="B657" s="2"/>
      <c r="C657" s="2"/>
      <c r="D657" s="2"/>
    </row>
    <row r="658" spans="1:4" s="27" customFormat="1" ht="12.75" customHeight="1" x14ac:dyDescent="0.2">
      <c r="A658" s="2"/>
      <c r="B658" s="2"/>
      <c r="C658" s="2"/>
      <c r="D658" s="2"/>
    </row>
    <row r="659" spans="1:4" s="27" customFormat="1" ht="12.75" customHeight="1" x14ac:dyDescent="0.2">
      <c r="A659" s="2"/>
      <c r="B659" s="2"/>
      <c r="C659" s="2"/>
      <c r="D659" s="2"/>
    </row>
    <row r="660" spans="1:4" s="27" customFormat="1" ht="12.75" customHeight="1" x14ac:dyDescent="0.2">
      <c r="A660" s="2"/>
      <c r="B660" s="2"/>
      <c r="C660" s="2"/>
      <c r="D660" s="2"/>
    </row>
    <row r="661" spans="1:4" s="27" customFormat="1" ht="12.75" customHeight="1" x14ac:dyDescent="0.2">
      <c r="A661" s="2"/>
      <c r="B661" s="2"/>
      <c r="C661" s="2"/>
      <c r="D661" s="2"/>
    </row>
    <row r="662" spans="1:4" s="27" customFormat="1" ht="12.75" customHeight="1" x14ac:dyDescent="0.2">
      <c r="A662" s="2"/>
      <c r="B662" s="2"/>
      <c r="C662" s="2"/>
      <c r="D662" s="2"/>
    </row>
    <row r="663" spans="1:4" s="27" customFormat="1" ht="12.75" customHeight="1" x14ac:dyDescent="0.2">
      <c r="A663" s="2"/>
      <c r="B663" s="2"/>
      <c r="C663" s="2"/>
      <c r="D663" s="2"/>
    </row>
    <row r="664" spans="1:4" s="27" customFormat="1" ht="12.75" customHeight="1" x14ac:dyDescent="0.2">
      <c r="A664" s="2"/>
      <c r="B664" s="2"/>
      <c r="C664" s="2"/>
      <c r="D664" s="2"/>
    </row>
    <row r="665" spans="1:4" s="27" customFormat="1" ht="12.75" customHeight="1" x14ac:dyDescent="0.2">
      <c r="A665" s="2"/>
      <c r="B665" s="2"/>
      <c r="C665" s="2"/>
      <c r="D665" s="2"/>
    </row>
    <row r="666" spans="1:4" s="27" customFormat="1" ht="12.75" customHeight="1" x14ac:dyDescent="0.2">
      <c r="A666" s="2"/>
      <c r="B666" s="2"/>
      <c r="C666" s="2"/>
      <c r="D666" s="2"/>
    </row>
    <row r="667" spans="1:4" s="27" customFormat="1" ht="12.75" customHeight="1" x14ac:dyDescent="0.2">
      <c r="A667" s="2"/>
      <c r="B667" s="2"/>
      <c r="C667" s="2"/>
      <c r="D667" s="2"/>
    </row>
    <row r="668" spans="1:4" s="27" customFormat="1" ht="12.75" customHeight="1" x14ac:dyDescent="0.2">
      <c r="A668" s="2"/>
      <c r="B668" s="2"/>
      <c r="C668" s="2"/>
      <c r="D668" s="2"/>
    </row>
    <row r="669" spans="1:4" s="27" customFormat="1" ht="12.75" customHeight="1" x14ac:dyDescent="0.2">
      <c r="A669" s="2"/>
      <c r="B669" s="2"/>
      <c r="C669" s="2"/>
      <c r="D669" s="2"/>
    </row>
    <row r="670" spans="1:4" s="27" customFormat="1" ht="12.75" customHeight="1" x14ac:dyDescent="0.2">
      <c r="A670" s="2"/>
      <c r="B670" s="2"/>
      <c r="C670" s="2"/>
      <c r="D670" s="2"/>
    </row>
    <row r="671" spans="1:4" s="27" customFormat="1" ht="12.75" customHeight="1" x14ac:dyDescent="0.2">
      <c r="A671" s="2"/>
      <c r="B671" s="2"/>
      <c r="C671" s="2"/>
      <c r="D671" s="2"/>
    </row>
    <row r="672" spans="1:4" s="27" customFormat="1" ht="12.75" customHeight="1" x14ac:dyDescent="0.2">
      <c r="A672" s="2"/>
      <c r="B672" s="2"/>
      <c r="C672" s="2"/>
      <c r="D672" s="2"/>
    </row>
    <row r="673" spans="1:4" s="27" customFormat="1" ht="12.75" customHeight="1" x14ac:dyDescent="0.2">
      <c r="A673" s="2"/>
      <c r="B673" s="2"/>
      <c r="C673" s="2"/>
      <c r="D673" s="2"/>
    </row>
    <row r="674" spans="1:4" s="27" customFormat="1" ht="12.75" customHeight="1" x14ac:dyDescent="0.2">
      <c r="A674" s="2"/>
      <c r="B674" s="2"/>
      <c r="C674" s="2"/>
      <c r="D674" s="2"/>
    </row>
    <row r="675" spans="1:4" s="27" customFormat="1" ht="12.75" customHeight="1" x14ac:dyDescent="0.2">
      <c r="A675" s="2"/>
      <c r="B675" s="2"/>
      <c r="C675" s="2"/>
      <c r="D675" s="2"/>
    </row>
    <row r="676" spans="1:4" s="27" customFormat="1" ht="12.75" customHeight="1" x14ac:dyDescent="0.2">
      <c r="A676" s="2"/>
      <c r="B676" s="2"/>
      <c r="C676" s="2"/>
      <c r="D676" s="2"/>
    </row>
    <row r="677" spans="1:4" s="27" customFormat="1" ht="12.75" customHeight="1" x14ac:dyDescent="0.2">
      <c r="A677" s="2"/>
      <c r="B677" s="2"/>
      <c r="C677" s="2"/>
      <c r="D677" s="2"/>
    </row>
    <row r="678" spans="1:4" s="27" customFormat="1" ht="12.75" customHeight="1" x14ac:dyDescent="0.2">
      <c r="A678" s="2"/>
      <c r="B678" s="2"/>
      <c r="C678" s="2"/>
      <c r="D678" s="2"/>
    </row>
    <row r="679" spans="1:4" s="27" customFormat="1" ht="12.75" customHeight="1" x14ac:dyDescent="0.2">
      <c r="A679" s="2"/>
      <c r="B679" s="2"/>
      <c r="C679" s="2"/>
      <c r="D679" s="2"/>
    </row>
    <row r="680" spans="1:4" s="27" customFormat="1" ht="12.75" customHeight="1" x14ac:dyDescent="0.2">
      <c r="A680" s="2"/>
      <c r="B680" s="2"/>
      <c r="C680" s="2"/>
      <c r="D680" s="2"/>
    </row>
    <row r="681" spans="1:4" s="27" customFormat="1" ht="12.75" customHeight="1" x14ac:dyDescent="0.2">
      <c r="A681" s="2"/>
      <c r="B681" s="2"/>
      <c r="C681" s="2"/>
      <c r="D681" s="2"/>
    </row>
    <row r="682" spans="1:4" s="27" customFormat="1" ht="12.75" customHeight="1" x14ac:dyDescent="0.2">
      <c r="A682" s="2"/>
      <c r="B682" s="2"/>
      <c r="C682" s="2"/>
      <c r="D682" s="2"/>
    </row>
    <row r="683" spans="1:4" s="27" customFormat="1" ht="12.75" customHeight="1" x14ac:dyDescent="0.2">
      <c r="A683" s="2"/>
      <c r="B683" s="2"/>
      <c r="C683" s="2"/>
      <c r="D683" s="2"/>
    </row>
    <row r="684" spans="1:4" s="27" customFormat="1" ht="12.75" customHeight="1" x14ac:dyDescent="0.2">
      <c r="A684" s="2"/>
      <c r="B684" s="2"/>
      <c r="C684" s="2"/>
      <c r="D684" s="2"/>
    </row>
    <row r="685" spans="1:4" s="27" customFormat="1" ht="12.75" customHeight="1" x14ac:dyDescent="0.2">
      <c r="A685" s="2"/>
      <c r="B685" s="2"/>
      <c r="C685" s="2"/>
      <c r="D685" s="2"/>
    </row>
    <row r="686" spans="1:4" s="27" customFormat="1" ht="12.75" customHeight="1" x14ac:dyDescent="0.2">
      <c r="A686" s="2"/>
      <c r="B686" s="2"/>
      <c r="C686" s="2"/>
      <c r="D686" s="2"/>
    </row>
    <row r="687" spans="1:4" s="27" customFormat="1" ht="12.75" customHeight="1" x14ac:dyDescent="0.2">
      <c r="A687" s="2"/>
      <c r="B687" s="2"/>
      <c r="C687" s="2"/>
      <c r="D687" s="2"/>
    </row>
    <row r="688" spans="1:4" s="27" customFormat="1" ht="12.75" customHeight="1" x14ac:dyDescent="0.2">
      <c r="A688" s="2"/>
      <c r="B688" s="2"/>
      <c r="C688" s="2"/>
      <c r="D688" s="2"/>
    </row>
    <row r="689" spans="1:4" s="27" customFormat="1" ht="12.75" customHeight="1" x14ac:dyDescent="0.2">
      <c r="A689" s="2"/>
      <c r="B689" s="2"/>
      <c r="C689" s="2"/>
      <c r="D689" s="2"/>
    </row>
    <row r="690" spans="1:4" s="27" customFormat="1" ht="12.75" customHeight="1" x14ac:dyDescent="0.2">
      <c r="A690" s="2"/>
      <c r="B690" s="2"/>
      <c r="C690" s="2"/>
      <c r="D690" s="2"/>
    </row>
    <row r="691" spans="1:4" s="27" customFormat="1" ht="12.75" customHeight="1" x14ac:dyDescent="0.2">
      <c r="A691" s="2"/>
      <c r="B691" s="2"/>
      <c r="C691" s="2"/>
      <c r="D691" s="2"/>
    </row>
    <row r="692" spans="1:4" s="27" customFormat="1" ht="12.75" customHeight="1" x14ac:dyDescent="0.2">
      <c r="A692" s="2"/>
      <c r="B692" s="2"/>
      <c r="C692" s="2"/>
      <c r="D692" s="2"/>
    </row>
    <row r="693" spans="1:4" s="27" customFormat="1" ht="12.75" customHeight="1" x14ac:dyDescent="0.2">
      <c r="A693" s="2"/>
      <c r="B693" s="2"/>
      <c r="C693" s="2"/>
      <c r="D693" s="2"/>
    </row>
    <row r="694" spans="1:4" s="27" customFormat="1" ht="12.75" customHeight="1" x14ac:dyDescent="0.2">
      <c r="A694" s="2"/>
      <c r="B694" s="2"/>
      <c r="C694" s="2"/>
      <c r="D694" s="2"/>
    </row>
    <row r="695" spans="1:4" s="27" customFormat="1" ht="12.75" customHeight="1" x14ac:dyDescent="0.2">
      <c r="A695" s="2"/>
      <c r="B695" s="2"/>
      <c r="C695" s="2"/>
      <c r="D695" s="2"/>
    </row>
    <row r="696" spans="1:4" s="27" customFormat="1" ht="12.75" customHeight="1" x14ac:dyDescent="0.2">
      <c r="A696" s="2"/>
      <c r="B696" s="2"/>
      <c r="C696" s="2"/>
      <c r="D696" s="2"/>
    </row>
    <row r="697" spans="1:4" s="27" customFormat="1" ht="12.75" customHeight="1" x14ac:dyDescent="0.2">
      <c r="A697" s="2"/>
      <c r="B697" s="2"/>
      <c r="C697" s="2"/>
      <c r="D697" s="2"/>
    </row>
    <row r="698" spans="1:4" s="27" customFormat="1" ht="12.75" customHeight="1" x14ac:dyDescent="0.2">
      <c r="A698" s="2"/>
      <c r="B698" s="2"/>
      <c r="C698" s="2"/>
      <c r="D698" s="2"/>
    </row>
    <row r="699" spans="1:4" s="27" customFormat="1" ht="12.75" customHeight="1" x14ac:dyDescent="0.2">
      <c r="A699" s="2"/>
      <c r="B699" s="2"/>
      <c r="C699" s="2"/>
      <c r="D699" s="2"/>
    </row>
    <row r="700" spans="1:4" s="27" customFormat="1" ht="12.75" customHeight="1" x14ac:dyDescent="0.2">
      <c r="A700" s="2"/>
      <c r="B700" s="2"/>
      <c r="C700" s="2"/>
      <c r="D700" s="2"/>
    </row>
    <row r="701" spans="1:4" s="27" customFormat="1" ht="12.75" customHeight="1" x14ac:dyDescent="0.2">
      <c r="A701" s="2"/>
      <c r="B701" s="2"/>
      <c r="C701" s="2"/>
      <c r="D701" s="2"/>
    </row>
    <row r="702" spans="1:4" s="27" customFormat="1" ht="12.75" customHeight="1" x14ac:dyDescent="0.2">
      <c r="A702" s="2"/>
      <c r="B702" s="2"/>
      <c r="C702" s="2"/>
      <c r="D702" s="2"/>
    </row>
    <row r="703" spans="1:4" s="27" customFormat="1" ht="12.75" customHeight="1" x14ac:dyDescent="0.2">
      <c r="A703" s="2"/>
      <c r="B703" s="2"/>
      <c r="C703" s="2"/>
      <c r="D703" s="2"/>
    </row>
    <row r="704" spans="1:4" s="27" customFormat="1" ht="12.75" customHeight="1" x14ac:dyDescent="0.2">
      <c r="A704" s="2"/>
      <c r="B704" s="2"/>
      <c r="C704" s="2"/>
      <c r="D704" s="2"/>
    </row>
    <row r="705" spans="1:4" s="27" customFormat="1" ht="12.75" customHeight="1" x14ac:dyDescent="0.2">
      <c r="A705" s="2"/>
      <c r="B705" s="2"/>
      <c r="C705" s="2"/>
      <c r="D705" s="2"/>
    </row>
    <row r="706" spans="1:4" s="27" customFormat="1" ht="12.75" customHeight="1" x14ac:dyDescent="0.2">
      <c r="A706" s="2"/>
      <c r="B706" s="2"/>
      <c r="C706" s="2"/>
      <c r="D706" s="2"/>
    </row>
    <row r="707" spans="1:4" s="27" customFormat="1" ht="12.75" customHeight="1" x14ac:dyDescent="0.2">
      <c r="A707" s="2"/>
      <c r="B707" s="2"/>
      <c r="C707" s="2"/>
      <c r="D707" s="2"/>
    </row>
    <row r="708" spans="1:4" s="27" customFormat="1" ht="12.75" customHeight="1" x14ac:dyDescent="0.2">
      <c r="A708" s="2"/>
      <c r="B708" s="2"/>
      <c r="C708" s="2"/>
      <c r="D708" s="2"/>
    </row>
    <row r="709" spans="1:4" s="27" customFormat="1" ht="12.75" customHeight="1" x14ac:dyDescent="0.2">
      <c r="A709" s="2"/>
      <c r="B709" s="2"/>
      <c r="C709" s="2"/>
      <c r="D709" s="2"/>
    </row>
    <row r="710" spans="1:4" s="27" customFormat="1" ht="12.75" customHeight="1" x14ac:dyDescent="0.2">
      <c r="A710" s="2"/>
      <c r="B710" s="2"/>
      <c r="C710" s="2"/>
      <c r="D710" s="2"/>
    </row>
    <row r="711" spans="1:4" s="27" customFormat="1" ht="12.75" customHeight="1" x14ac:dyDescent="0.2">
      <c r="A711" s="2"/>
      <c r="B711" s="2"/>
      <c r="C711" s="2"/>
      <c r="D711" s="2"/>
    </row>
    <row r="712" spans="1:4" s="27" customFormat="1" ht="12.75" customHeight="1" x14ac:dyDescent="0.2">
      <c r="A712" s="2"/>
      <c r="B712" s="2"/>
      <c r="C712" s="2"/>
      <c r="D712" s="2"/>
    </row>
    <row r="713" spans="1:4" s="27" customFormat="1" ht="12.75" customHeight="1" x14ac:dyDescent="0.2">
      <c r="A713" s="2"/>
      <c r="B713" s="2"/>
      <c r="C713" s="2"/>
      <c r="D713" s="2"/>
    </row>
    <row r="714" spans="1:4" s="27" customFormat="1" ht="12.75" customHeight="1" x14ac:dyDescent="0.2">
      <c r="A714" s="2"/>
      <c r="B714" s="2"/>
      <c r="C714" s="2"/>
      <c r="D714" s="2"/>
    </row>
    <row r="715" spans="1:4" s="27" customFormat="1" ht="12.75" customHeight="1" x14ac:dyDescent="0.2">
      <c r="A715" s="2"/>
      <c r="B715" s="2"/>
      <c r="C715" s="2"/>
      <c r="D715" s="2"/>
    </row>
    <row r="716" spans="1:4" s="27" customFormat="1" ht="12.75" customHeight="1" x14ac:dyDescent="0.2">
      <c r="A716" s="2"/>
      <c r="B716" s="2"/>
      <c r="C716" s="2"/>
      <c r="D716" s="2"/>
    </row>
    <row r="717" spans="1:4" s="27" customFormat="1" ht="12.75" customHeight="1" x14ac:dyDescent="0.2">
      <c r="A717" s="2"/>
      <c r="B717" s="2"/>
      <c r="C717" s="2"/>
      <c r="D717" s="2"/>
    </row>
    <row r="718" spans="1:4" s="27" customFormat="1" ht="12.75" customHeight="1" x14ac:dyDescent="0.2">
      <c r="A718" s="2"/>
      <c r="B718" s="2"/>
      <c r="C718" s="2"/>
      <c r="D718" s="2"/>
    </row>
    <row r="719" spans="1:4" s="27" customFormat="1" ht="12.75" customHeight="1" x14ac:dyDescent="0.2">
      <c r="A719" s="2"/>
      <c r="B719" s="2"/>
      <c r="C719" s="2"/>
      <c r="D719" s="2"/>
    </row>
    <row r="720" spans="1:4" s="27" customFormat="1" ht="12.75" customHeight="1" x14ac:dyDescent="0.2">
      <c r="A720" s="2"/>
      <c r="B720" s="2"/>
      <c r="C720" s="2"/>
      <c r="D720" s="2"/>
    </row>
    <row r="721" spans="1:4" s="27" customFormat="1" ht="12.75" customHeight="1" x14ac:dyDescent="0.2">
      <c r="A721" s="2"/>
      <c r="B721" s="2"/>
      <c r="C721" s="2"/>
      <c r="D721" s="2"/>
    </row>
    <row r="722" spans="1:4" s="27" customFormat="1" ht="12.75" customHeight="1" x14ac:dyDescent="0.2">
      <c r="A722" s="2"/>
      <c r="B722" s="2"/>
      <c r="C722" s="2"/>
      <c r="D722" s="2"/>
    </row>
    <row r="723" spans="1:4" s="27" customFormat="1" ht="12.75" customHeight="1" x14ac:dyDescent="0.2">
      <c r="A723" s="2"/>
      <c r="B723" s="2"/>
      <c r="C723" s="2"/>
      <c r="D723" s="2"/>
    </row>
    <row r="724" spans="1:4" s="27" customFormat="1" ht="12.75" customHeight="1" x14ac:dyDescent="0.2">
      <c r="A724" s="2"/>
      <c r="B724" s="2"/>
      <c r="C724" s="2"/>
      <c r="D724" s="2"/>
    </row>
    <row r="725" spans="1:4" s="27" customFormat="1" ht="12.75" customHeight="1" x14ac:dyDescent="0.2">
      <c r="A725" s="2"/>
      <c r="B725" s="2"/>
      <c r="C725" s="2"/>
      <c r="D725" s="2"/>
    </row>
    <row r="726" spans="1:4" s="27" customFormat="1" ht="12.75" customHeight="1" x14ac:dyDescent="0.2">
      <c r="A726" s="2"/>
      <c r="B726" s="2"/>
      <c r="C726" s="2"/>
      <c r="D726" s="2"/>
    </row>
    <row r="727" spans="1:4" s="27" customFormat="1" ht="12.75" customHeight="1" x14ac:dyDescent="0.2">
      <c r="A727" s="2"/>
      <c r="B727" s="2"/>
      <c r="C727" s="2"/>
      <c r="D727" s="2"/>
    </row>
    <row r="728" spans="1:4" s="27" customFormat="1" ht="12.75" customHeight="1" x14ac:dyDescent="0.2">
      <c r="A728" s="2"/>
      <c r="B728" s="2"/>
      <c r="C728" s="2"/>
      <c r="D728" s="2"/>
    </row>
    <row r="729" spans="1:4" s="27" customFormat="1" ht="12.75" customHeight="1" x14ac:dyDescent="0.2">
      <c r="A729" s="2"/>
      <c r="B729" s="2"/>
      <c r="C729" s="2"/>
      <c r="D729" s="2"/>
    </row>
    <row r="730" spans="1:4" s="27" customFormat="1" ht="12.75" customHeight="1" x14ac:dyDescent="0.2">
      <c r="A730" s="2"/>
      <c r="B730" s="2"/>
      <c r="C730" s="2"/>
      <c r="D730" s="2"/>
    </row>
    <row r="731" spans="1:4" s="27" customFormat="1" ht="12.75" customHeight="1" x14ac:dyDescent="0.2">
      <c r="A731" s="2"/>
      <c r="B731" s="2"/>
      <c r="C731" s="2"/>
      <c r="D731" s="2"/>
    </row>
    <row r="732" spans="1:4" s="27" customFormat="1" ht="12.75" customHeight="1" x14ac:dyDescent="0.2">
      <c r="A732" s="2"/>
      <c r="B732" s="2"/>
      <c r="C732" s="2"/>
      <c r="D732" s="2"/>
    </row>
    <row r="733" spans="1:4" s="27" customFormat="1" ht="12.75" customHeight="1" x14ac:dyDescent="0.2">
      <c r="A733" s="2"/>
      <c r="B733" s="2"/>
      <c r="C733" s="2"/>
      <c r="D733" s="2"/>
    </row>
    <row r="734" spans="1:4" s="27" customFormat="1" ht="12.75" customHeight="1" x14ac:dyDescent="0.2">
      <c r="A734" s="2"/>
      <c r="B734" s="2"/>
      <c r="C734" s="2"/>
      <c r="D734" s="2"/>
    </row>
    <row r="735" spans="1:4" s="27" customFormat="1" ht="12.75" customHeight="1" x14ac:dyDescent="0.2">
      <c r="A735" s="2"/>
      <c r="B735" s="2"/>
      <c r="C735" s="2"/>
      <c r="D735" s="2"/>
    </row>
    <row r="736" spans="1:4" s="27" customFormat="1" ht="12.75" customHeight="1" x14ac:dyDescent="0.2">
      <c r="A736" s="2"/>
      <c r="B736" s="2"/>
      <c r="C736" s="2"/>
      <c r="D736" s="2"/>
    </row>
    <row r="737" spans="1:4" s="27" customFormat="1" ht="12.75" customHeight="1" x14ac:dyDescent="0.2">
      <c r="A737" s="2"/>
      <c r="B737" s="2"/>
      <c r="C737" s="2"/>
      <c r="D737" s="2"/>
    </row>
    <row r="738" spans="1:4" s="27" customFormat="1" ht="12.75" customHeight="1" x14ac:dyDescent="0.2">
      <c r="A738" s="2"/>
      <c r="B738" s="2"/>
      <c r="C738" s="2"/>
      <c r="D738" s="2"/>
    </row>
    <row r="739" spans="1:4" s="27" customFormat="1" ht="12.75" customHeight="1" x14ac:dyDescent="0.2">
      <c r="A739" s="2"/>
      <c r="B739" s="2"/>
      <c r="C739" s="2"/>
      <c r="D739" s="2"/>
    </row>
    <row r="740" spans="1:4" s="27" customFormat="1" ht="12.75" customHeight="1" x14ac:dyDescent="0.2">
      <c r="A740" s="2"/>
      <c r="B740" s="2"/>
      <c r="C740" s="2"/>
      <c r="D740" s="2"/>
    </row>
    <row r="741" spans="1:4" s="27" customFormat="1" ht="12.75" customHeight="1" x14ac:dyDescent="0.2">
      <c r="A741" s="2"/>
      <c r="B741" s="2"/>
      <c r="C741" s="2"/>
      <c r="D741" s="2"/>
    </row>
    <row r="742" spans="1:4" s="27" customFormat="1" ht="12.75" customHeight="1" x14ac:dyDescent="0.2">
      <c r="A742" s="2"/>
      <c r="B742" s="2"/>
      <c r="C742" s="2"/>
      <c r="D742" s="2"/>
    </row>
    <row r="743" spans="1:4" s="27" customFormat="1" ht="12.75" customHeight="1" x14ac:dyDescent="0.2">
      <c r="A743" s="2"/>
      <c r="B743" s="2"/>
      <c r="C743" s="2"/>
      <c r="D743" s="2"/>
    </row>
    <row r="744" spans="1:4" s="27" customFormat="1" ht="12.75" customHeight="1" x14ac:dyDescent="0.2">
      <c r="A744" s="2"/>
      <c r="B744" s="2"/>
      <c r="C744" s="2"/>
      <c r="D744" s="2"/>
    </row>
    <row r="745" spans="1:4" s="27" customFormat="1" ht="12.75" customHeight="1" x14ac:dyDescent="0.2">
      <c r="A745" s="2"/>
      <c r="B745" s="2"/>
      <c r="C745" s="2"/>
      <c r="D745" s="2"/>
    </row>
    <row r="746" spans="1:4" s="27" customFormat="1" ht="12.75" customHeight="1" x14ac:dyDescent="0.2">
      <c r="A746" s="2"/>
      <c r="B746" s="2"/>
      <c r="C746" s="2"/>
      <c r="D746" s="2"/>
    </row>
    <row r="747" spans="1:4" s="27" customFormat="1" ht="12.75" customHeight="1" x14ac:dyDescent="0.2">
      <c r="A747" s="2"/>
      <c r="B747" s="2"/>
      <c r="C747" s="2"/>
      <c r="D747" s="2"/>
    </row>
    <row r="748" spans="1:4" s="27" customFormat="1" ht="12.75" customHeight="1" x14ac:dyDescent="0.2">
      <c r="A748" s="2"/>
      <c r="B748" s="2"/>
      <c r="C748" s="2"/>
      <c r="D748" s="2"/>
    </row>
    <row r="749" spans="1:4" s="27" customFormat="1" ht="12.75" customHeight="1" x14ac:dyDescent="0.2">
      <c r="A749" s="2"/>
      <c r="B749" s="2"/>
      <c r="C749" s="2"/>
      <c r="D749" s="2"/>
    </row>
    <row r="750" spans="1:4" s="27" customFormat="1" ht="12.75" customHeight="1" x14ac:dyDescent="0.2">
      <c r="A750" s="2"/>
      <c r="B750" s="2"/>
      <c r="C750" s="2"/>
      <c r="D750" s="2"/>
    </row>
    <row r="751" spans="1:4" s="27" customFormat="1" ht="12.75" customHeight="1" x14ac:dyDescent="0.2">
      <c r="A751" s="2"/>
      <c r="B751" s="2"/>
      <c r="C751" s="2"/>
      <c r="D751" s="2"/>
    </row>
    <row r="752" spans="1:4" s="27" customFormat="1" ht="12.75" customHeight="1" x14ac:dyDescent="0.2">
      <c r="A752" s="2"/>
      <c r="B752" s="2"/>
      <c r="C752" s="2"/>
      <c r="D752" s="2"/>
    </row>
    <row r="753" spans="1:4" s="27" customFormat="1" ht="12.75" customHeight="1" x14ac:dyDescent="0.2">
      <c r="A753" s="2"/>
      <c r="B753" s="2"/>
      <c r="C753" s="2"/>
      <c r="D753" s="2"/>
    </row>
    <row r="754" spans="1:4" s="27" customFormat="1" ht="12.75" customHeight="1" x14ac:dyDescent="0.2">
      <c r="A754" s="2"/>
      <c r="B754" s="2"/>
      <c r="C754" s="2"/>
      <c r="D754" s="2"/>
    </row>
    <row r="755" spans="1:4" s="27" customFormat="1" ht="12.75" customHeight="1" x14ac:dyDescent="0.2">
      <c r="A755" s="2"/>
      <c r="B755" s="2"/>
      <c r="C755" s="2"/>
      <c r="D755" s="2"/>
    </row>
    <row r="756" spans="1:4" s="27" customFormat="1" ht="12.75" customHeight="1" x14ac:dyDescent="0.2">
      <c r="A756" s="2"/>
      <c r="B756" s="2"/>
      <c r="C756" s="2"/>
      <c r="D756" s="2"/>
    </row>
    <row r="757" spans="1:4" s="27" customFormat="1" ht="12.75" customHeight="1" x14ac:dyDescent="0.2">
      <c r="A757" s="2"/>
      <c r="B757" s="2"/>
      <c r="C757" s="2"/>
      <c r="D757" s="2"/>
    </row>
    <row r="758" spans="1:4" s="27" customFormat="1" ht="12.75" customHeight="1" x14ac:dyDescent="0.2">
      <c r="A758" s="2"/>
      <c r="B758" s="2"/>
      <c r="C758" s="2"/>
      <c r="D758" s="2"/>
    </row>
    <row r="759" spans="1:4" s="27" customFormat="1" ht="12.75" customHeight="1" x14ac:dyDescent="0.2">
      <c r="A759" s="2"/>
      <c r="B759" s="2"/>
      <c r="C759" s="2"/>
      <c r="D759" s="2"/>
    </row>
    <row r="760" spans="1:4" s="27" customFormat="1" ht="12.75" customHeight="1" x14ac:dyDescent="0.2">
      <c r="A760" s="2"/>
      <c r="B760" s="2"/>
      <c r="C760" s="2"/>
      <c r="D760" s="2"/>
    </row>
    <row r="761" spans="1:4" s="27" customFormat="1" ht="12.75" customHeight="1" x14ac:dyDescent="0.2">
      <c r="A761" s="2"/>
      <c r="B761" s="2"/>
      <c r="C761" s="2"/>
      <c r="D761" s="2"/>
    </row>
    <row r="762" spans="1:4" s="27" customFormat="1" ht="12.75" customHeight="1" x14ac:dyDescent="0.2">
      <c r="A762" s="2"/>
      <c r="B762" s="2"/>
      <c r="C762" s="2"/>
      <c r="D762" s="2"/>
    </row>
    <row r="763" spans="1:4" s="27" customFormat="1" ht="12.75" customHeight="1" x14ac:dyDescent="0.2">
      <c r="A763" s="2"/>
      <c r="B763" s="2"/>
      <c r="C763" s="2"/>
      <c r="D763" s="2"/>
    </row>
    <row r="764" spans="1:4" s="27" customFormat="1" ht="12.75" customHeight="1" x14ac:dyDescent="0.2">
      <c r="A764" s="2"/>
      <c r="B764" s="2"/>
      <c r="C764" s="2"/>
      <c r="D764" s="2"/>
    </row>
    <row r="765" spans="1:4" s="27" customFormat="1" ht="12.75" customHeight="1" x14ac:dyDescent="0.2">
      <c r="A765" s="2"/>
      <c r="B765" s="2"/>
      <c r="C765" s="2"/>
      <c r="D765" s="2"/>
    </row>
    <row r="766" spans="1:4" s="27" customFormat="1" ht="12.75" customHeight="1" x14ac:dyDescent="0.2">
      <c r="A766" s="2"/>
      <c r="B766" s="2"/>
      <c r="C766" s="2"/>
      <c r="D766" s="2"/>
    </row>
    <row r="767" spans="1:4" s="27" customFormat="1" ht="12.75" customHeight="1" x14ac:dyDescent="0.2">
      <c r="A767" s="2"/>
      <c r="B767" s="2"/>
      <c r="C767" s="2"/>
      <c r="D767" s="2"/>
    </row>
    <row r="768" spans="1:4" s="27" customFormat="1" ht="12.75" customHeight="1" x14ac:dyDescent="0.2">
      <c r="A768" s="2"/>
      <c r="B768" s="2"/>
      <c r="C768" s="2"/>
      <c r="D768" s="2"/>
    </row>
    <row r="769" spans="1:4" s="27" customFormat="1" ht="12.75" customHeight="1" x14ac:dyDescent="0.2">
      <c r="A769" s="2"/>
      <c r="B769" s="2"/>
      <c r="C769" s="2"/>
      <c r="D769" s="2"/>
    </row>
    <row r="770" spans="1:4" s="27" customFormat="1" ht="12.75" customHeight="1" x14ac:dyDescent="0.2">
      <c r="A770" s="2"/>
      <c r="B770" s="2"/>
      <c r="C770" s="2"/>
      <c r="D770" s="2"/>
    </row>
    <row r="771" spans="1:4" s="27" customFormat="1" ht="12.75" customHeight="1" x14ac:dyDescent="0.2">
      <c r="A771" s="2"/>
      <c r="B771" s="2"/>
      <c r="C771" s="2"/>
      <c r="D771" s="2"/>
    </row>
    <row r="772" spans="1:4" s="27" customFormat="1" ht="12.75" customHeight="1" x14ac:dyDescent="0.2">
      <c r="A772" s="2"/>
      <c r="B772" s="2"/>
      <c r="C772" s="2"/>
      <c r="D772" s="2"/>
    </row>
    <row r="773" spans="1:4" s="27" customFormat="1" ht="12.75" customHeight="1" x14ac:dyDescent="0.2">
      <c r="A773" s="2"/>
      <c r="B773" s="2"/>
      <c r="C773" s="2"/>
      <c r="D773" s="2"/>
    </row>
    <row r="774" spans="1:4" s="27" customFormat="1" ht="12.75" customHeight="1" x14ac:dyDescent="0.2">
      <c r="A774" s="2"/>
      <c r="B774" s="2"/>
      <c r="C774" s="2"/>
      <c r="D774" s="2"/>
    </row>
    <row r="775" spans="1:4" s="27" customFormat="1" ht="12.75" customHeight="1" x14ac:dyDescent="0.2">
      <c r="A775" s="2"/>
      <c r="B775" s="2"/>
      <c r="C775" s="2"/>
      <c r="D775" s="2"/>
    </row>
    <row r="776" spans="1:4" s="27" customFormat="1" ht="12.75" customHeight="1" x14ac:dyDescent="0.2">
      <c r="A776" s="2"/>
      <c r="B776" s="2"/>
      <c r="C776" s="2"/>
      <c r="D776" s="2"/>
    </row>
    <row r="777" spans="1:4" s="27" customFormat="1" ht="12.75" customHeight="1" x14ac:dyDescent="0.2">
      <c r="A777" s="2"/>
      <c r="B777" s="2"/>
      <c r="C777" s="2"/>
      <c r="D777" s="2"/>
    </row>
    <row r="778" spans="1:4" s="27" customFormat="1" ht="12.75" customHeight="1" x14ac:dyDescent="0.2">
      <c r="A778" s="2"/>
      <c r="B778" s="2"/>
      <c r="C778" s="2"/>
      <c r="D778" s="2"/>
    </row>
    <row r="779" spans="1:4" s="27" customFormat="1" ht="12.75" customHeight="1" x14ac:dyDescent="0.2">
      <c r="A779" s="2"/>
      <c r="B779" s="2"/>
      <c r="C779" s="2"/>
      <c r="D779" s="2"/>
    </row>
    <row r="780" spans="1:4" s="27" customFormat="1" ht="12.75" customHeight="1" x14ac:dyDescent="0.2">
      <c r="A780" s="2"/>
      <c r="B780" s="2"/>
      <c r="C780" s="2"/>
      <c r="D780" s="2"/>
    </row>
    <row r="781" spans="1:4" s="27" customFormat="1" ht="12.75" customHeight="1" x14ac:dyDescent="0.2">
      <c r="A781" s="2"/>
      <c r="B781" s="2"/>
      <c r="C781" s="2"/>
      <c r="D781" s="2"/>
    </row>
    <row r="782" spans="1:4" s="27" customFormat="1" ht="12.75" customHeight="1" x14ac:dyDescent="0.2">
      <c r="A782" s="2"/>
      <c r="B782" s="2"/>
      <c r="C782" s="2"/>
      <c r="D782" s="2"/>
    </row>
    <row r="783" spans="1:4" s="27" customFormat="1" ht="12.75" customHeight="1" x14ac:dyDescent="0.2">
      <c r="A783" s="2"/>
      <c r="B783" s="2"/>
      <c r="C783" s="2"/>
      <c r="D783" s="2"/>
    </row>
    <row r="784" spans="1:4" s="27" customFormat="1" ht="12.75" customHeight="1" x14ac:dyDescent="0.2">
      <c r="A784" s="2"/>
      <c r="B784" s="2"/>
      <c r="C784" s="2"/>
      <c r="D784" s="2"/>
    </row>
    <row r="785" spans="1:4" s="27" customFormat="1" ht="12.75" customHeight="1" x14ac:dyDescent="0.2">
      <c r="A785" s="2"/>
      <c r="B785" s="2"/>
      <c r="C785" s="2"/>
      <c r="D785" s="2"/>
    </row>
    <row r="786" spans="1:4" s="27" customFormat="1" ht="12.75" customHeight="1" x14ac:dyDescent="0.2">
      <c r="A786" s="2"/>
      <c r="B786" s="2"/>
      <c r="C786" s="2"/>
      <c r="D786" s="2"/>
    </row>
    <row r="787" spans="1:4" s="27" customFormat="1" ht="12.75" customHeight="1" x14ac:dyDescent="0.2">
      <c r="A787" s="2"/>
      <c r="B787" s="2"/>
      <c r="C787" s="2"/>
      <c r="D787" s="2"/>
    </row>
    <row r="788" spans="1:4" s="27" customFormat="1" ht="12.75" customHeight="1" x14ac:dyDescent="0.2">
      <c r="A788" s="2"/>
      <c r="B788" s="2"/>
      <c r="C788" s="2"/>
      <c r="D788" s="2"/>
    </row>
    <row r="789" spans="1:4" s="27" customFormat="1" ht="12.75" customHeight="1" x14ac:dyDescent="0.2">
      <c r="A789" s="2"/>
      <c r="B789" s="2"/>
      <c r="C789" s="2"/>
      <c r="D789" s="2"/>
    </row>
    <row r="790" spans="1:4" s="27" customFormat="1" ht="12.75" customHeight="1" x14ac:dyDescent="0.2">
      <c r="A790" s="2"/>
      <c r="B790" s="2"/>
      <c r="C790" s="2"/>
      <c r="D790" s="2"/>
    </row>
    <row r="791" spans="1:4" s="27" customFormat="1" ht="12.75" customHeight="1" x14ac:dyDescent="0.2">
      <c r="A791" s="2"/>
      <c r="B791" s="2"/>
      <c r="C791" s="2"/>
      <c r="D791" s="2"/>
    </row>
    <row r="792" spans="1:4" s="27" customFormat="1" ht="12.75" customHeight="1" x14ac:dyDescent="0.2">
      <c r="A792" s="2"/>
      <c r="B792" s="2"/>
      <c r="C792" s="2"/>
      <c r="D792" s="2"/>
    </row>
    <row r="793" spans="1:4" s="27" customFormat="1" ht="12.75" customHeight="1" x14ac:dyDescent="0.2">
      <c r="A793" s="2"/>
      <c r="B793" s="2"/>
      <c r="C793" s="2"/>
      <c r="D793" s="2"/>
    </row>
    <row r="794" spans="1:4" s="27" customFormat="1" ht="12.75" customHeight="1" x14ac:dyDescent="0.2">
      <c r="A794" s="2"/>
      <c r="B794" s="2"/>
      <c r="C794" s="2"/>
      <c r="D794" s="2"/>
    </row>
    <row r="795" spans="1:4" s="27" customFormat="1" ht="12.75" customHeight="1" x14ac:dyDescent="0.2">
      <c r="A795" s="2"/>
      <c r="B795" s="2"/>
      <c r="C795" s="2"/>
      <c r="D795" s="2"/>
    </row>
    <row r="796" spans="1:4" s="27" customFormat="1" ht="12.75" customHeight="1" x14ac:dyDescent="0.2">
      <c r="A796" s="2"/>
      <c r="B796" s="2"/>
      <c r="C796" s="2"/>
      <c r="D796" s="2"/>
    </row>
    <row r="797" spans="1:4" s="27" customFormat="1" ht="12.75" customHeight="1" x14ac:dyDescent="0.2">
      <c r="A797" s="2"/>
      <c r="B797" s="2"/>
      <c r="C797" s="2"/>
      <c r="D797" s="2"/>
    </row>
    <row r="798" spans="1:4" s="27" customFormat="1" ht="12.75" customHeight="1" x14ac:dyDescent="0.2">
      <c r="A798" s="2"/>
      <c r="B798" s="2"/>
      <c r="C798" s="2"/>
      <c r="D798" s="2"/>
    </row>
    <row r="799" spans="1:4" s="27" customFormat="1" ht="12.75" customHeight="1" x14ac:dyDescent="0.2">
      <c r="A799" s="2"/>
      <c r="B799" s="2"/>
      <c r="C799" s="2"/>
      <c r="D799" s="2"/>
    </row>
    <row r="800" spans="1:4" s="27" customFormat="1" ht="12.75" customHeight="1" x14ac:dyDescent="0.2">
      <c r="A800" s="2"/>
      <c r="B800" s="2"/>
      <c r="C800" s="2"/>
      <c r="D800" s="2"/>
    </row>
    <row r="801" spans="1:4" s="27" customFormat="1" ht="12.75" customHeight="1" x14ac:dyDescent="0.2">
      <c r="A801" s="2"/>
      <c r="B801" s="2"/>
      <c r="C801" s="2"/>
      <c r="D801" s="2"/>
    </row>
    <row r="802" spans="1:4" s="27" customFormat="1" ht="12.75" customHeight="1" x14ac:dyDescent="0.2">
      <c r="A802" s="2"/>
      <c r="B802" s="2"/>
      <c r="C802" s="2"/>
      <c r="D802" s="2"/>
    </row>
    <row r="803" spans="1:4" s="27" customFormat="1" ht="12.75" customHeight="1" x14ac:dyDescent="0.2">
      <c r="A803" s="2"/>
      <c r="B803" s="2"/>
      <c r="C803" s="2"/>
      <c r="D803" s="2"/>
    </row>
    <row r="804" spans="1:4" s="27" customFormat="1" ht="12.75" customHeight="1" x14ac:dyDescent="0.2">
      <c r="A804" s="2"/>
      <c r="B804" s="2"/>
      <c r="C804" s="2"/>
      <c r="D804" s="2"/>
    </row>
    <row r="805" spans="1:4" s="27" customFormat="1" ht="12.75" customHeight="1" x14ac:dyDescent="0.2">
      <c r="A805" s="2"/>
      <c r="B805" s="2"/>
      <c r="C805" s="2"/>
      <c r="D805" s="2"/>
    </row>
    <row r="806" spans="1:4" s="27" customFormat="1" ht="12.75" customHeight="1" x14ac:dyDescent="0.2">
      <c r="A806" s="2"/>
      <c r="B806" s="2"/>
      <c r="C806" s="2"/>
      <c r="D806" s="2"/>
    </row>
    <row r="807" spans="1:4" s="27" customFormat="1" ht="12.75" customHeight="1" x14ac:dyDescent="0.2">
      <c r="A807" s="2"/>
      <c r="B807" s="2"/>
      <c r="C807" s="2"/>
      <c r="D807" s="2"/>
    </row>
    <row r="808" spans="1:4" s="27" customFormat="1" ht="12.75" customHeight="1" x14ac:dyDescent="0.2">
      <c r="A808" s="2"/>
      <c r="B808" s="2"/>
      <c r="C808" s="2"/>
      <c r="D808" s="2"/>
    </row>
    <row r="809" spans="1:4" s="27" customFormat="1" ht="12.75" customHeight="1" x14ac:dyDescent="0.2">
      <c r="A809" s="2"/>
      <c r="B809" s="2"/>
      <c r="C809" s="2"/>
      <c r="D809" s="2"/>
    </row>
    <row r="810" spans="1:4" s="27" customFormat="1" ht="12.75" customHeight="1" x14ac:dyDescent="0.2">
      <c r="A810" s="2"/>
      <c r="B810" s="2"/>
      <c r="C810" s="2"/>
      <c r="D810" s="2"/>
    </row>
    <row r="811" spans="1:4" s="27" customFormat="1" ht="12.75" customHeight="1" x14ac:dyDescent="0.2">
      <c r="A811" s="2"/>
      <c r="B811" s="2"/>
      <c r="C811" s="2"/>
      <c r="D811" s="2"/>
    </row>
    <row r="812" spans="1:4" s="27" customFormat="1" ht="12.75" customHeight="1" x14ac:dyDescent="0.2">
      <c r="A812" s="2"/>
      <c r="B812" s="2"/>
      <c r="C812" s="2"/>
      <c r="D812" s="2"/>
    </row>
    <row r="813" spans="1:4" s="27" customFormat="1" ht="12.75" customHeight="1" x14ac:dyDescent="0.2">
      <c r="A813" s="2"/>
      <c r="B813" s="2"/>
      <c r="C813" s="2"/>
      <c r="D813" s="2"/>
    </row>
    <row r="814" spans="1:4" s="27" customFormat="1" ht="12.75" customHeight="1" x14ac:dyDescent="0.2">
      <c r="A814" s="2"/>
      <c r="B814" s="2"/>
      <c r="C814" s="2"/>
      <c r="D814" s="2"/>
    </row>
    <row r="815" spans="1:4" s="27" customFormat="1" ht="12.75" customHeight="1" x14ac:dyDescent="0.2">
      <c r="A815" s="2"/>
      <c r="B815" s="2"/>
      <c r="C815" s="2"/>
      <c r="D815" s="2"/>
    </row>
    <row r="816" spans="1:4" s="27" customFormat="1" ht="12.75" customHeight="1" x14ac:dyDescent="0.2">
      <c r="A816" s="2"/>
      <c r="B816" s="2"/>
      <c r="C816" s="2"/>
      <c r="D816" s="2"/>
    </row>
    <row r="817" spans="1:4" s="27" customFormat="1" ht="12.75" customHeight="1" x14ac:dyDescent="0.2">
      <c r="A817" s="2"/>
      <c r="B817" s="2"/>
      <c r="C817" s="2"/>
      <c r="D817" s="2"/>
    </row>
    <row r="818" spans="1:4" s="27" customFormat="1" ht="12.75" customHeight="1" x14ac:dyDescent="0.2">
      <c r="A818" s="2"/>
      <c r="B818" s="2"/>
      <c r="C818" s="2"/>
      <c r="D818" s="2"/>
    </row>
    <row r="819" spans="1:4" s="27" customFormat="1" ht="12.75" customHeight="1" x14ac:dyDescent="0.2">
      <c r="A819" s="2"/>
      <c r="B819" s="2"/>
      <c r="C819" s="2"/>
      <c r="D819" s="2"/>
    </row>
    <row r="820" spans="1:4" s="27" customFormat="1" ht="12.75" customHeight="1" x14ac:dyDescent="0.2">
      <c r="A820" s="2"/>
      <c r="B820" s="2"/>
      <c r="C820" s="2"/>
      <c r="D820" s="2"/>
    </row>
    <row r="821" spans="1:4" s="27" customFormat="1" ht="12.75" customHeight="1" x14ac:dyDescent="0.2">
      <c r="A821" s="2"/>
      <c r="B821" s="2"/>
      <c r="C821" s="2"/>
      <c r="D821" s="2"/>
    </row>
    <row r="822" spans="1:4" s="27" customFormat="1" ht="12.75" customHeight="1" x14ac:dyDescent="0.2">
      <c r="A822" s="2"/>
      <c r="B822" s="2"/>
      <c r="C822" s="2"/>
      <c r="D822" s="2"/>
    </row>
    <row r="823" spans="1:4" s="27" customFormat="1" ht="12.75" customHeight="1" x14ac:dyDescent="0.2">
      <c r="A823" s="2"/>
      <c r="B823" s="2"/>
      <c r="C823" s="2"/>
      <c r="D823" s="2"/>
    </row>
    <row r="824" spans="1:4" s="27" customFormat="1" ht="12.75" customHeight="1" x14ac:dyDescent="0.2">
      <c r="A824" s="2"/>
      <c r="B824" s="2"/>
      <c r="C824" s="2"/>
      <c r="D824" s="2"/>
    </row>
    <row r="825" spans="1:4" s="27" customFormat="1" ht="12.75" customHeight="1" x14ac:dyDescent="0.2">
      <c r="A825" s="2"/>
      <c r="B825" s="2"/>
      <c r="C825" s="2"/>
      <c r="D825" s="2"/>
    </row>
    <row r="826" spans="1:4" s="27" customFormat="1" ht="12.75" customHeight="1" x14ac:dyDescent="0.2">
      <c r="A826" s="2"/>
      <c r="B826" s="2"/>
      <c r="C826" s="2"/>
      <c r="D826" s="2"/>
    </row>
    <row r="827" spans="1:4" s="27" customFormat="1" ht="12.75" customHeight="1" x14ac:dyDescent="0.2">
      <c r="A827" s="2"/>
      <c r="B827" s="2"/>
      <c r="C827" s="2"/>
      <c r="D827" s="2"/>
    </row>
    <row r="828" spans="1:4" s="27" customFormat="1" ht="12.75" customHeight="1" x14ac:dyDescent="0.2">
      <c r="A828" s="2"/>
      <c r="B828" s="2"/>
      <c r="C828" s="2"/>
      <c r="D828" s="2"/>
    </row>
    <row r="829" spans="1:4" s="27" customFormat="1" ht="12.75" customHeight="1" x14ac:dyDescent="0.2">
      <c r="A829" s="2"/>
      <c r="B829" s="2"/>
      <c r="C829" s="2"/>
      <c r="D829" s="2"/>
    </row>
    <row r="830" spans="1:4" s="27" customFormat="1" ht="12.75" customHeight="1" x14ac:dyDescent="0.2">
      <c r="A830" s="2"/>
      <c r="B830" s="2"/>
      <c r="C830" s="2"/>
      <c r="D830" s="2"/>
    </row>
    <row r="831" spans="1:4" s="27" customFormat="1" ht="12.75" customHeight="1" x14ac:dyDescent="0.2">
      <c r="A831" s="2"/>
      <c r="B831" s="2"/>
      <c r="C831" s="2"/>
      <c r="D831" s="2"/>
    </row>
    <row r="832" spans="1:4" s="27" customFormat="1" ht="12.75" customHeight="1" x14ac:dyDescent="0.2">
      <c r="A832" s="2"/>
      <c r="B832" s="2"/>
      <c r="C832" s="2"/>
      <c r="D832" s="2"/>
    </row>
    <row r="833" spans="1:4" s="27" customFormat="1" ht="12.75" customHeight="1" x14ac:dyDescent="0.2">
      <c r="A833" s="2"/>
      <c r="B833" s="2"/>
      <c r="C833" s="2"/>
      <c r="D833" s="2"/>
    </row>
    <row r="834" spans="1:4" s="27" customFormat="1" ht="12.75" customHeight="1" x14ac:dyDescent="0.2">
      <c r="A834" s="2"/>
      <c r="B834" s="2"/>
      <c r="C834" s="2"/>
      <c r="D834" s="2"/>
    </row>
    <row r="835" spans="1:4" s="27" customFormat="1" ht="12.75" customHeight="1" x14ac:dyDescent="0.2">
      <c r="A835" s="2"/>
      <c r="B835" s="2"/>
      <c r="C835" s="2"/>
      <c r="D835" s="2"/>
    </row>
    <row r="836" spans="1:4" s="27" customFormat="1" ht="12.75" customHeight="1" x14ac:dyDescent="0.2">
      <c r="A836" s="2"/>
      <c r="B836" s="2"/>
      <c r="C836" s="2"/>
      <c r="D836" s="2"/>
    </row>
    <row r="837" spans="1:4" s="27" customFormat="1" ht="12.75" customHeight="1" x14ac:dyDescent="0.2">
      <c r="A837" s="2"/>
      <c r="B837" s="2"/>
      <c r="C837" s="2"/>
      <c r="D837" s="2"/>
    </row>
    <row r="838" spans="1:4" s="27" customFormat="1" ht="12.75" customHeight="1" x14ac:dyDescent="0.2">
      <c r="A838" s="2"/>
      <c r="B838" s="2"/>
      <c r="C838" s="2"/>
      <c r="D838" s="2"/>
    </row>
    <row r="839" spans="1:4" s="27" customFormat="1" ht="12.75" customHeight="1" x14ac:dyDescent="0.2">
      <c r="A839" s="2"/>
      <c r="B839" s="2"/>
      <c r="C839" s="2"/>
      <c r="D839" s="2"/>
    </row>
    <row r="840" spans="1:4" s="27" customFormat="1" ht="12.75" customHeight="1" x14ac:dyDescent="0.2">
      <c r="A840" s="2"/>
      <c r="B840" s="2"/>
      <c r="C840" s="2"/>
      <c r="D840" s="2"/>
    </row>
    <row r="841" spans="1:4" s="27" customFormat="1" ht="12.75" customHeight="1" x14ac:dyDescent="0.2">
      <c r="A841" s="2"/>
      <c r="B841" s="2"/>
      <c r="C841" s="2"/>
      <c r="D841" s="2"/>
    </row>
    <row r="842" spans="1:4" s="27" customFormat="1" ht="12.75" customHeight="1" x14ac:dyDescent="0.2">
      <c r="A842" s="2"/>
      <c r="B842" s="2"/>
      <c r="C842" s="2"/>
      <c r="D842" s="2"/>
    </row>
    <row r="843" spans="1:4" s="27" customFormat="1" ht="12.75" customHeight="1" x14ac:dyDescent="0.2">
      <c r="A843" s="2"/>
      <c r="B843" s="2"/>
      <c r="C843" s="2"/>
      <c r="D843" s="2"/>
    </row>
    <row r="844" spans="1:4" s="27" customFormat="1" ht="12.75" customHeight="1" x14ac:dyDescent="0.2">
      <c r="A844" s="2"/>
      <c r="B844" s="2"/>
      <c r="C844" s="2"/>
      <c r="D844" s="2"/>
    </row>
    <row r="845" spans="1:4" s="27" customFormat="1" ht="12.75" customHeight="1" x14ac:dyDescent="0.2">
      <c r="A845" s="2"/>
      <c r="B845" s="2"/>
      <c r="C845" s="2"/>
      <c r="D845" s="2"/>
    </row>
    <row r="846" spans="1:4" s="27" customFormat="1" ht="12.75" customHeight="1" x14ac:dyDescent="0.2">
      <c r="A846" s="2"/>
      <c r="B846" s="2"/>
      <c r="C846" s="2"/>
      <c r="D846" s="2"/>
    </row>
    <row r="847" spans="1:4" s="27" customFormat="1" ht="12.75" customHeight="1" x14ac:dyDescent="0.2">
      <c r="A847" s="2"/>
      <c r="B847" s="2"/>
      <c r="C847" s="2"/>
      <c r="D847" s="2"/>
    </row>
    <row r="848" spans="1:4" s="27" customFormat="1" ht="12.75" customHeight="1" x14ac:dyDescent="0.2">
      <c r="A848" s="2"/>
      <c r="B848" s="2"/>
      <c r="C848" s="2"/>
      <c r="D848" s="2"/>
    </row>
    <row r="849" spans="1:4" s="27" customFormat="1" ht="12.75" customHeight="1" x14ac:dyDescent="0.2">
      <c r="A849" s="2"/>
      <c r="B849" s="2"/>
      <c r="C849" s="2"/>
      <c r="D849" s="2"/>
    </row>
    <row r="850" spans="1:4" s="27" customFormat="1" ht="12.75" customHeight="1" x14ac:dyDescent="0.2">
      <c r="A850" s="2"/>
      <c r="B850" s="2"/>
      <c r="C850" s="2"/>
      <c r="D850" s="2"/>
    </row>
    <row r="851" spans="1:4" s="27" customFormat="1" ht="12.75" customHeight="1" x14ac:dyDescent="0.2">
      <c r="A851" s="2"/>
      <c r="B851" s="2"/>
      <c r="C851" s="2"/>
      <c r="D851" s="2"/>
    </row>
    <row r="852" spans="1:4" s="27" customFormat="1" ht="12.75" customHeight="1" x14ac:dyDescent="0.2">
      <c r="A852" s="2"/>
      <c r="B852" s="2"/>
      <c r="C852" s="2"/>
      <c r="D852" s="2"/>
    </row>
    <row r="853" spans="1:4" s="27" customFormat="1" ht="12.75" customHeight="1" x14ac:dyDescent="0.2">
      <c r="A853" s="2"/>
      <c r="B853" s="2"/>
      <c r="C853" s="2"/>
      <c r="D853" s="2"/>
    </row>
    <row r="854" spans="1:4" s="27" customFormat="1" ht="12.75" customHeight="1" x14ac:dyDescent="0.2">
      <c r="A854" s="2"/>
      <c r="B854" s="2"/>
      <c r="C854" s="2"/>
      <c r="D854" s="2"/>
    </row>
    <row r="855" spans="1:4" s="27" customFormat="1" ht="12.75" customHeight="1" x14ac:dyDescent="0.2">
      <c r="A855" s="2"/>
      <c r="B855" s="2"/>
      <c r="C855" s="2"/>
      <c r="D855" s="2"/>
    </row>
    <row r="856" spans="1:4" s="27" customFormat="1" ht="12.75" customHeight="1" x14ac:dyDescent="0.2">
      <c r="A856" s="2"/>
      <c r="B856" s="2"/>
      <c r="C856" s="2"/>
      <c r="D856" s="2"/>
    </row>
    <row r="857" spans="1:4" s="27" customFormat="1" ht="12.75" customHeight="1" x14ac:dyDescent="0.2">
      <c r="A857" s="2"/>
      <c r="B857" s="2"/>
      <c r="C857" s="2"/>
      <c r="D857" s="2"/>
    </row>
    <row r="858" spans="1:4" s="27" customFormat="1" ht="12.75" customHeight="1" x14ac:dyDescent="0.2">
      <c r="A858" s="2"/>
      <c r="B858" s="2"/>
      <c r="C858" s="2"/>
      <c r="D858" s="2"/>
    </row>
    <row r="859" spans="1:4" s="27" customFormat="1" ht="12.75" customHeight="1" x14ac:dyDescent="0.2">
      <c r="A859" s="2"/>
      <c r="B859" s="2"/>
      <c r="C859" s="2"/>
      <c r="D859" s="2"/>
    </row>
    <row r="860" spans="1:4" s="27" customFormat="1" ht="12.75" customHeight="1" x14ac:dyDescent="0.2">
      <c r="A860" s="2"/>
      <c r="B860" s="2"/>
      <c r="C860" s="2"/>
      <c r="D860" s="2"/>
    </row>
    <row r="861" spans="1:4" s="27" customFormat="1" ht="12.75" customHeight="1" x14ac:dyDescent="0.2">
      <c r="A861" s="2"/>
      <c r="B861" s="2"/>
      <c r="C861" s="2"/>
      <c r="D861" s="2"/>
    </row>
    <row r="862" spans="1:4" s="27" customFormat="1" ht="12.75" customHeight="1" x14ac:dyDescent="0.2">
      <c r="A862" s="2"/>
      <c r="B862" s="2"/>
      <c r="C862" s="2"/>
      <c r="D862" s="2"/>
    </row>
    <row r="863" spans="1:4" s="27" customFormat="1" ht="12.75" customHeight="1" x14ac:dyDescent="0.2">
      <c r="A863" s="2"/>
      <c r="B863" s="2"/>
      <c r="C863" s="2"/>
      <c r="D863" s="2"/>
    </row>
    <row r="864" spans="1:4" s="27" customFormat="1" ht="12.75" customHeight="1" x14ac:dyDescent="0.2">
      <c r="A864" s="2"/>
      <c r="B864" s="2"/>
      <c r="C864" s="2"/>
      <c r="D864" s="2"/>
    </row>
    <row r="865" spans="1:4" s="27" customFormat="1" ht="12.75" customHeight="1" x14ac:dyDescent="0.2">
      <c r="A865" s="2"/>
      <c r="B865" s="2"/>
      <c r="C865" s="2"/>
      <c r="D865" s="2"/>
    </row>
    <row r="866" spans="1:4" s="27" customFormat="1" ht="12.75" customHeight="1" x14ac:dyDescent="0.2">
      <c r="A866" s="2"/>
      <c r="B866" s="2"/>
      <c r="C866" s="2"/>
      <c r="D866" s="2"/>
    </row>
    <row r="867" spans="1:4" s="27" customFormat="1" ht="12.75" customHeight="1" x14ac:dyDescent="0.2">
      <c r="A867" s="2"/>
      <c r="B867" s="2"/>
      <c r="C867" s="2"/>
      <c r="D867" s="2"/>
    </row>
    <row r="868" spans="1:4" s="27" customFormat="1" ht="12.75" customHeight="1" x14ac:dyDescent="0.2">
      <c r="A868" s="2"/>
      <c r="B868" s="2"/>
      <c r="C868" s="2"/>
      <c r="D868" s="2"/>
    </row>
    <row r="869" spans="1:4" s="27" customFormat="1" ht="12.75" customHeight="1" x14ac:dyDescent="0.2">
      <c r="A869" s="2"/>
      <c r="B869" s="2"/>
      <c r="C869" s="2"/>
      <c r="D869" s="2"/>
    </row>
    <row r="870" spans="1:4" s="27" customFormat="1" ht="12.75" customHeight="1" x14ac:dyDescent="0.2">
      <c r="A870" s="2"/>
      <c r="B870" s="2"/>
      <c r="C870" s="2"/>
      <c r="D870" s="2"/>
    </row>
    <row r="871" spans="1:4" s="27" customFormat="1" ht="12.75" customHeight="1" x14ac:dyDescent="0.2">
      <c r="A871" s="2"/>
      <c r="B871" s="2"/>
      <c r="C871" s="2"/>
      <c r="D871" s="2"/>
    </row>
    <row r="872" spans="1:4" s="27" customFormat="1" ht="12.75" customHeight="1" x14ac:dyDescent="0.2">
      <c r="A872" s="2"/>
      <c r="B872" s="2"/>
      <c r="C872" s="2"/>
      <c r="D872" s="2"/>
    </row>
    <row r="873" spans="1:4" s="27" customFormat="1" ht="12.75" customHeight="1" x14ac:dyDescent="0.2">
      <c r="A873" s="2"/>
      <c r="B873" s="2"/>
      <c r="C873" s="2"/>
      <c r="D873" s="2"/>
    </row>
    <row r="874" spans="1:4" s="27" customFormat="1" ht="12.75" customHeight="1" x14ac:dyDescent="0.2">
      <c r="A874" s="2"/>
      <c r="B874" s="2"/>
      <c r="C874" s="2"/>
      <c r="D874" s="2"/>
    </row>
    <row r="875" spans="1:4" s="27" customFormat="1" ht="12.75" customHeight="1" x14ac:dyDescent="0.2">
      <c r="A875" s="2"/>
      <c r="B875" s="2"/>
      <c r="C875" s="2"/>
      <c r="D875" s="2"/>
    </row>
    <row r="876" spans="1:4" s="27" customFormat="1" ht="12.75" customHeight="1" x14ac:dyDescent="0.2">
      <c r="A876" s="2"/>
      <c r="B876" s="2"/>
      <c r="C876" s="2"/>
      <c r="D876" s="2"/>
    </row>
    <row r="877" spans="1:4" s="27" customFormat="1" ht="12.75" customHeight="1" x14ac:dyDescent="0.2">
      <c r="A877" s="2"/>
      <c r="B877" s="2"/>
      <c r="C877" s="2"/>
      <c r="D877" s="2"/>
    </row>
    <row r="878" spans="1:4" s="27" customFormat="1" ht="12.75" customHeight="1" x14ac:dyDescent="0.2">
      <c r="A878" s="2"/>
      <c r="B878" s="2"/>
      <c r="C878" s="2"/>
      <c r="D878" s="2"/>
    </row>
    <row r="879" spans="1:4" s="27" customFormat="1" ht="12.75" customHeight="1" x14ac:dyDescent="0.2">
      <c r="A879" s="2"/>
      <c r="B879" s="2"/>
      <c r="C879" s="2"/>
      <c r="D879" s="2"/>
    </row>
    <row r="880" spans="1:4" s="27" customFormat="1" ht="12.75" customHeight="1" x14ac:dyDescent="0.2">
      <c r="A880" s="2"/>
      <c r="B880" s="2"/>
      <c r="C880" s="2"/>
      <c r="D880" s="2"/>
    </row>
    <row r="881" spans="1:4" s="27" customFormat="1" ht="12.75" customHeight="1" x14ac:dyDescent="0.2">
      <c r="A881" s="2"/>
      <c r="B881" s="2"/>
      <c r="C881" s="2"/>
      <c r="D881" s="2"/>
    </row>
    <row r="882" spans="1:4" s="27" customFormat="1" ht="12.75" customHeight="1" x14ac:dyDescent="0.2">
      <c r="A882" s="2"/>
      <c r="B882" s="2"/>
      <c r="C882" s="2"/>
      <c r="D882" s="2"/>
    </row>
    <row r="883" spans="1:4" s="27" customFormat="1" ht="12.75" customHeight="1" x14ac:dyDescent="0.2">
      <c r="A883" s="2"/>
      <c r="B883" s="2"/>
      <c r="C883" s="2"/>
      <c r="D883" s="2"/>
    </row>
    <row r="884" spans="1:4" s="27" customFormat="1" ht="12.75" customHeight="1" x14ac:dyDescent="0.2">
      <c r="A884" s="2"/>
      <c r="B884" s="2"/>
      <c r="C884" s="2"/>
      <c r="D884" s="2"/>
    </row>
    <row r="885" spans="1:4" s="27" customFormat="1" ht="12.75" customHeight="1" x14ac:dyDescent="0.2">
      <c r="A885" s="2"/>
      <c r="B885" s="2"/>
      <c r="C885" s="2"/>
      <c r="D885" s="2"/>
    </row>
    <row r="886" spans="1:4" s="27" customFormat="1" ht="12.75" customHeight="1" x14ac:dyDescent="0.2">
      <c r="A886" s="2"/>
      <c r="B886" s="2"/>
      <c r="C886" s="2"/>
      <c r="D886" s="2"/>
    </row>
    <row r="887" spans="1:4" s="27" customFormat="1" ht="12.75" customHeight="1" x14ac:dyDescent="0.2">
      <c r="A887" s="2"/>
      <c r="B887" s="2"/>
      <c r="C887" s="2"/>
      <c r="D887" s="2"/>
    </row>
    <row r="888" spans="1:4" s="27" customFormat="1" ht="12.75" customHeight="1" x14ac:dyDescent="0.2">
      <c r="A888" s="2"/>
      <c r="B888" s="2"/>
      <c r="C888" s="2"/>
      <c r="D888" s="2"/>
    </row>
    <row r="889" spans="1:4" s="27" customFormat="1" ht="12.75" customHeight="1" x14ac:dyDescent="0.2">
      <c r="A889" s="2"/>
      <c r="B889" s="2"/>
      <c r="C889" s="2"/>
      <c r="D889" s="2"/>
    </row>
    <row r="890" spans="1:4" s="27" customFormat="1" ht="12.75" customHeight="1" x14ac:dyDescent="0.2">
      <c r="A890" s="2"/>
      <c r="B890" s="2"/>
      <c r="C890" s="2"/>
      <c r="D890" s="2"/>
    </row>
    <row r="891" spans="1:4" s="27" customFormat="1" ht="12.75" customHeight="1" x14ac:dyDescent="0.2">
      <c r="A891" s="2"/>
      <c r="B891" s="2"/>
      <c r="C891" s="2"/>
      <c r="D891" s="2"/>
    </row>
    <row r="892" spans="1:4" s="27" customFormat="1" ht="12.75" customHeight="1" x14ac:dyDescent="0.2">
      <c r="A892" s="2"/>
      <c r="B892" s="2"/>
      <c r="C892" s="2"/>
      <c r="D892" s="2"/>
    </row>
    <row r="893" spans="1:4" s="27" customFormat="1" ht="12.75" customHeight="1" x14ac:dyDescent="0.2">
      <c r="A893" s="2"/>
      <c r="B893" s="2"/>
      <c r="C893" s="2"/>
      <c r="D893" s="2"/>
    </row>
    <row r="894" spans="1:4" s="27" customFormat="1" ht="12.75" customHeight="1" x14ac:dyDescent="0.2">
      <c r="A894" s="2"/>
      <c r="B894" s="2"/>
      <c r="C894" s="2"/>
      <c r="D894" s="2"/>
    </row>
    <row r="895" spans="1:4" s="27" customFormat="1" ht="12.75" customHeight="1" x14ac:dyDescent="0.2">
      <c r="A895" s="2"/>
      <c r="B895" s="2"/>
      <c r="C895" s="2"/>
      <c r="D895" s="2"/>
    </row>
    <row r="896" spans="1:4" s="27" customFormat="1" ht="12.75" customHeight="1" x14ac:dyDescent="0.2">
      <c r="A896" s="2"/>
      <c r="B896" s="2"/>
      <c r="C896" s="2"/>
      <c r="D896" s="2"/>
    </row>
    <row r="897" spans="1:4" s="27" customFormat="1" ht="12.75" customHeight="1" x14ac:dyDescent="0.2">
      <c r="A897" s="2"/>
      <c r="B897" s="2"/>
      <c r="C897" s="2"/>
      <c r="D897" s="2"/>
    </row>
    <row r="898" spans="1:4" s="27" customFormat="1" ht="12.75" customHeight="1" x14ac:dyDescent="0.2">
      <c r="A898" s="2"/>
      <c r="B898" s="2"/>
      <c r="C898" s="2"/>
      <c r="D898" s="2"/>
    </row>
    <row r="899" spans="1:4" s="27" customFormat="1" ht="12.75" customHeight="1" x14ac:dyDescent="0.2">
      <c r="A899" s="2"/>
      <c r="B899" s="2"/>
      <c r="C899" s="2"/>
      <c r="D899" s="2"/>
    </row>
    <row r="900" spans="1:4" s="27" customFormat="1" ht="12.75" customHeight="1" x14ac:dyDescent="0.2">
      <c r="A900" s="2"/>
      <c r="B900" s="2"/>
      <c r="C900" s="2"/>
      <c r="D900" s="2"/>
    </row>
    <row r="901" spans="1:4" s="27" customFormat="1" ht="12.75" customHeight="1" x14ac:dyDescent="0.2">
      <c r="A901" s="2"/>
      <c r="B901" s="2"/>
      <c r="C901" s="2"/>
      <c r="D901" s="2"/>
    </row>
    <row r="902" spans="1:4" s="27" customFormat="1" ht="12.75" customHeight="1" x14ac:dyDescent="0.2">
      <c r="A902" s="2"/>
      <c r="B902" s="2"/>
      <c r="C902" s="2"/>
      <c r="D902" s="2"/>
    </row>
    <row r="903" spans="1:4" s="27" customFormat="1" ht="12.75" customHeight="1" x14ac:dyDescent="0.2">
      <c r="A903" s="2"/>
      <c r="B903" s="2"/>
      <c r="C903" s="2"/>
      <c r="D903" s="2"/>
    </row>
    <row r="904" spans="1:4" s="27" customFormat="1" ht="12.75" customHeight="1" x14ac:dyDescent="0.2">
      <c r="A904" s="2"/>
      <c r="B904" s="2"/>
      <c r="C904" s="2"/>
      <c r="D904" s="2"/>
    </row>
    <row r="905" spans="1:4" s="27" customFormat="1" ht="12.75" customHeight="1" x14ac:dyDescent="0.2">
      <c r="A905" s="2"/>
      <c r="B905" s="2"/>
      <c r="C905" s="2"/>
      <c r="D905" s="2"/>
    </row>
    <row r="906" spans="1:4" s="27" customFormat="1" ht="12.75" customHeight="1" x14ac:dyDescent="0.2">
      <c r="A906" s="2"/>
      <c r="B906" s="2"/>
      <c r="C906" s="2"/>
      <c r="D906" s="2"/>
    </row>
    <row r="907" spans="1:4" s="27" customFormat="1" ht="12.75" customHeight="1" x14ac:dyDescent="0.2">
      <c r="A907" s="2"/>
      <c r="B907" s="2"/>
      <c r="C907" s="2"/>
      <c r="D907" s="2"/>
    </row>
    <row r="908" spans="1:4" s="27" customFormat="1" ht="12.75" customHeight="1" x14ac:dyDescent="0.2">
      <c r="A908" s="2"/>
      <c r="B908" s="2"/>
      <c r="C908" s="2"/>
      <c r="D908" s="2"/>
    </row>
    <row r="909" spans="1:4" s="27" customFormat="1" ht="12.75" customHeight="1" x14ac:dyDescent="0.2">
      <c r="A909" s="2"/>
      <c r="B909" s="2"/>
      <c r="C909" s="2"/>
      <c r="D909" s="2"/>
    </row>
    <row r="910" spans="1:4" s="27" customFormat="1" ht="12.75" customHeight="1" x14ac:dyDescent="0.2">
      <c r="A910" s="2"/>
      <c r="B910" s="2"/>
      <c r="C910" s="2"/>
      <c r="D910" s="2"/>
    </row>
    <row r="911" spans="1:4" s="27" customFormat="1" ht="12.75" customHeight="1" x14ac:dyDescent="0.2">
      <c r="A911" s="2"/>
      <c r="B911" s="2"/>
      <c r="C911" s="2"/>
      <c r="D911" s="2"/>
    </row>
    <row r="912" spans="1:4" s="27" customFormat="1" ht="12.75" customHeight="1" x14ac:dyDescent="0.2">
      <c r="A912" s="2"/>
      <c r="B912" s="2"/>
      <c r="C912" s="2"/>
      <c r="D912" s="2"/>
    </row>
    <row r="913" spans="1:4" s="27" customFormat="1" ht="12.75" customHeight="1" x14ac:dyDescent="0.2">
      <c r="A913" s="2"/>
      <c r="B913" s="2"/>
      <c r="C913" s="2"/>
      <c r="D913" s="2"/>
    </row>
    <row r="914" spans="1:4" s="27" customFormat="1" ht="12.75" customHeight="1" x14ac:dyDescent="0.2">
      <c r="A914" s="2"/>
      <c r="B914" s="2"/>
      <c r="C914" s="2"/>
      <c r="D914" s="2"/>
    </row>
    <row r="915" spans="1:4" s="27" customFormat="1" ht="12.75" customHeight="1" x14ac:dyDescent="0.2">
      <c r="A915" s="2"/>
      <c r="B915" s="2"/>
      <c r="C915" s="2"/>
      <c r="D915" s="2"/>
    </row>
    <row r="916" spans="1:4" s="27" customFormat="1" ht="12.75" customHeight="1" x14ac:dyDescent="0.2">
      <c r="A916" s="2"/>
      <c r="B916" s="2"/>
      <c r="C916" s="2"/>
      <c r="D916" s="2"/>
    </row>
    <row r="917" spans="1:4" s="27" customFormat="1" ht="12.75" customHeight="1" x14ac:dyDescent="0.2">
      <c r="A917" s="2"/>
      <c r="B917" s="2"/>
      <c r="C917" s="2"/>
      <c r="D917" s="2"/>
    </row>
    <row r="918" spans="1:4" s="27" customFormat="1" ht="12.75" customHeight="1" x14ac:dyDescent="0.2">
      <c r="A918" s="2"/>
      <c r="B918" s="2"/>
      <c r="C918" s="2"/>
      <c r="D918" s="2"/>
    </row>
    <row r="919" spans="1:4" s="27" customFormat="1" ht="12.75" customHeight="1" x14ac:dyDescent="0.2">
      <c r="A919" s="2"/>
      <c r="B919" s="2"/>
      <c r="C919" s="2"/>
      <c r="D919" s="2"/>
    </row>
    <row r="920" spans="1:4" s="27" customFormat="1" ht="12.75" customHeight="1" x14ac:dyDescent="0.2">
      <c r="A920" s="2"/>
      <c r="B920" s="2"/>
      <c r="C920" s="2"/>
      <c r="D920" s="2"/>
    </row>
    <row r="921" spans="1:4" s="27" customFormat="1" ht="12.75" customHeight="1" x14ac:dyDescent="0.2">
      <c r="A921" s="2"/>
      <c r="B921" s="2"/>
      <c r="C921" s="2"/>
      <c r="D921" s="2"/>
    </row>
    <row r="922" spans="1:4" s="27" customFormat="1" ht="12.75" customHeight="1" x14ac:dyDescent="0.2">
      <c r="A922" s="2"/>
      <c r="B922" s="2"/>
      <c r="C922" s="2"/>
      <c r="D922" s="2"/>
    </row>
    <row r="923" spans="1:4" s="27" customFormat="1" ht="12.75" customHeight="1" x14ac:dyDescent="0.2">
      <c r="A923" s="2"/>
      <c r="B923" s="2"/>
      <c r="C923" s="2"/>
      <c r="D923" s="2"/>
    </row>
    <row r="924" spans="1:4" s="27" customFormat="1" ht="12.75" customHeight="1" x14ac:dyDescent="0.2">
      <c r="A924" s="2"/>
      <c r="B924" s="2"/>
      <c r="C924" s="2"/>
      <c r="D924" s="2"/>
    </row>
    <row r="925" spans="1:4" s="27" customFormat="1" ht="12.75" customHeight="1" x14ac:dyDescent="0.2">
      <c r="A925" s="2"/>
      <c r="B925" s="2"/>
      <c r="C925" s="2"/>
      <c r="D925" s="2"/>
    </row>
    <row r="926" spans="1:4" s="27" customFormat="1" ht="12.75" customHeight="1" x14ac:dyDescent="0.2">
      <c r="A926" s="2"/>
      <c r="B926" s="2"/>
      <c r="C926" s="2"/>
      <c r="D926" s="2"/>
    </row>
    <row r="927" spans="1:4" s="27" customFormat="1" ht="12.75" customHeight="1" x14ac:dyDescent="0.2">
      <c r="A927" s="2"/>
      <c r="B927" s="2"/>
      <c r="C927" s="2"/>
      <c r="D927" s="2"/>
    </row>
    <row r="928" spans="1:4" s="27" customFormat="1" ht="12.75" customHeight="1" x14ac:dyDescent="0.2">
      <c r="A928" s="2"/>
      <c r="B928" s="2"/>
      <c r="C928" s="2"/>
      <c r="D928" s="2"/>
    </row>
    <row r="929" spans="1:4" s="27" customFormat="1" ht="12.75" customHeight="1" x14ac:dyDescent="0.2">
      <c r="A929" s="2"/>
      <c r="B929" s="2"/>
      <c r="C929" s="2"/>
      <c r="D929" s="2"/>
    </row>
    <row r="930" spans="1:4" s="27" customFormat="1" ht="12.75" customHeight="1" x14ac:dyDescent="0.2">
      <c r="A930" s="2"/>
      <c r="B930" s="2"/>
      <c r="C930" s="2"/>
      <c r="D930" s="2"/>
    </row>
    <row r="931" spans="1:4" s="27" customFormat="1" ht="12.75" customHeight="1" x14ac:dyDescent="0.2">
      <c r="A931" s="2"/>
      <c r="B931" s="2"/>
      <c r="C931" s="2"/>
      <c r="D931" s="2"/>
    </row>
    <row r="932" spans="1:4" s="27" customFormat="1" ht="12.75" customHeight="1" x14ac:dyDescent="0.2">
      <c r="A932" s="2"/>
      <c r="B932" s="2"/>
      <c r="C932" s="2"/>
      <c r="D932" s="2"/>
    </row>
    <row r="933" spans="1:4" s="27" customFormat="1" ht="12.75" customHeight="1" x14ac:dyDescent="0.2">
      <c r="A933" s="2"/>
      <c r="B933" s="2"/>
      <c r="C933" s="2"/>
      <c r="D933" s="2"/>
    </row>
    <row r="934" spans="1:4" s="27" customFormat="1" ht="12.75" customHeight="1" x14ac:dyDescent="0.2">
      <c r="A934" s="2"/>
      <c r="B934" s="2"/>
      <c r="C934" s="2"/>
      <c r="D934" s="2"/>
    </row>
    <row r="935" spans="1:4" s="27" customFormat="1" ht="12.75" customHeight="1" x14ac:dyDescent="0.2">
      <c r="A935" s="2"/>
      <c r="B935" s="2"/>
      <c r="C935" s="2"/>
      <c r="D935" s="2"/>
    </row>
    <row r="936" spans="1:4" s="27" customFormat="1" ht="12.75" customHeight="1" x14ac:dyDescent="0.2">
      <c r="A936" s="2"/>
      <c r="B936" s="2"/>
      <c r="C936" s="2"/>
      <c r="D936" s="2"/>
    </row>
    <row r="937" spans="1:4" s="27" customFormat="1" ht="12.75" customHeight="1" x14ac:dyDescent="0.2">
      <c r="A937" s="2"/>
      <c r="B937" s="2"/>
      <c r="C937" s="2"/>
      <c r="D937" s="2"/>
    </row>
    <row r="938" spans="1:4" s="27" customFormat="1" ht="12.75" customHeight="1" x14ac:dyDescent="0.2">
      <c r="A938" s="2"/>
      <c r="B938" s="2"/>
      <c r="C938" s="2"/>
      <c r="D938" s="2"/>
    </row>
    <row r="939" spans="1:4" s="27" customFormat="1" ht="12.75" customHeight="1" x14ac:dyDescent="0.2">
      <c r="A939" s="2"/>
      <c r="B939" s="2"/>
      <c r="C939" s="2"/>
      <c r="D939" s="2"/>
    </row>
    <row r="940" spans="1:4" s="27" customFormat="1" ht="12.75" customHeight="1" x14ac:dyDescent="0.2">
      <c r="A940" s="2"/>
      <c r="B940" s="2"/>
      <c r="C940" s="2"/>
      <c r="D940" s="2"/>
    </row>
    <row r="941" spans="1:4" s="27" customFormat="1" ht="12.75" customHeight="1" x14ac:dyDescent="0.2">
      <c r="A941" s="2"/>
      <c r="B941" s="2"/>
      <c r="C941" s="2"/>
      <c r="D941" s="2"/>
    </row>
    <row r="942" spans="1:4" s="27" customFormat="1" ht="12.75" customHeight="1" x14ac:dyDescent="0.2">
      <c r="A942" s="2"/>
      <c r="B942" s="2"/>
      <c r="C942" s="2"/>
      <c r="D942" s="2"/>
    </row>
    <row r="943" spans="1:4" s="27" customFormat="1" ht="12.75" customHeight="1" x14ac:dyDescent="0.2">
      <c r="A943" s="2"/>
      <c r="B943" s="2"/>
      <c r="C943" s="2"/>
      <c r="D943" s="2"/>
    </row>
    <row r="944" spans="1:4" s="27" customFormat="1" ht="12.75" customHeight="1" x14ac:dyDescent="0.2">
      <c r="A944" s="2"/>
      <c r="B944" s="2"/>
      <c r="C944" s="2"/>
      <c r="D944" s="2"/>
    </row>
    <row r="945" spans="1:4" s="27" customFormat="1" ht="12.75" customHeight="1" x14ac:dyDescent="0.2">
      <c r="A945" s="2"/>
      <c r="B945" s="2"/>
      <c r="C945" s="2"/>
      <c r="D945" s="2"/>
    </row>
    <row r="946" spans="1:4" s="27" customFormat="1" ht="12.75" customHeight="1" x14ac:dyDescent="0.2">
      <c r="A946" s="2"/>
      <c r="B946" s="2"/>
      <c r="C946" s="2"/>
      <c r="D946" s="2"/>
    </row>
    <row r="947" spans="1:4" s="27" customFormat="1" ht="12.75" customHeight="1" x14ac:dyDescent="0.2">
      <c r="A947" s="2"/>
      <c r="B947" s="2"/>
      <c r="C947" s="2"/>
      <c r="D947" s="2"/>
    </row>
    <row r="948" spans="1:4" s="27" customFormat="1" ht="12.75" customHeight="1" x14ac:dyDescent="0.2">
      <c r="A948" s="2"/>
      <c r="B948" s="2"/>
      <c r="C948" s="2"/>
      <c r="D948" s="2"/>
    </row>
    <row r="949" spans="1:4" s="27" customFormat="1" ht="12.75" customHeight="1" x14ac:dyDescent="0.2">
      <c r="A949" s="2"/>
      <c r="B949" s="2"/>
      <c r="C949" s="2"/>
      <c r="D949" s="2"/>
    </row>
    <row r="950" spans="1:4" s="27" customFormat="1" ht="12.75" customHeight="1" x14ac:dyDescent="0.2">
      <c r="A950" s="2"/>
      <c r="B950" s="2"/>
      <c r="C950" s="2"/>
      <c r="D950" s="2"/>
    </row>
    <row r="951" spans="1:4" s="27" customFormat="1" ht="12.75" customHeight="1" x14ac:dyDescent="0.2">
      <c r="A951" s="2"/>
      <c r="B951" s="2"/>
      <c r="C951" s="2"/>
      <c r="D951" s="2"/>
    </row>
    <row r="952" spans="1:4" s="27" customFormat="1" ht="12.75" customHeight="1" x14ac:dyDescent="0.2">
      <c r="A952" s="2"/>
      <c r="B952" s="2"/>
      <c r="C952" s="2"/>
      <c r="D952" s="2"/>
    </row>
    <row r="953" spans="1:4" s="27" customFormat="1" ht="12.75" customHeight="1" x14ac:dyDescent="0.2">
      <c r="A953" s="2"/>
      <c r="B953" s="2"/>
      <c r="C953" s="2"/>
      <c r="D953" s="2"/>
    </row>
    <row r="954" spans="1:4" s="27" customFormat="1" ht="12.75" customHeight="1" x14ac:dyDescent="0.2">
      <c r="A954" s="2"/>
      <c r="B954" s="2"/>
      <c r="C954" s="2"/>
      <c r="D954" s="2"/>
    </row>
    <row r="955" spans="1:4" s="27" customFormat="1" ht="12.75" customHeight="1" x14ac:dyDescent="0.2">
      <c r="A955" s="2"/>
      <c r="B955" s="2"/>
      <c r="C955" s="2"/>
      <c r="D955" s="2"/>
    </row>
    <row r="956" spans="1:4" s="27" customFormat="1" ht="12.75" customHeight="1" x14ac:dyDescent="0.2">
      <c r="A956" s="2"/>
      <c r="B956" s="2"/>
      <c r="C956" s="2"/>
      <c r="D956" s="2"/>
    </row>
    <row r="957" spans="1:4" s="27" customFormat="1" ht="12.75" customHeight="1" x14ac:dyDescent="0.2">
      <c r="A957" s="2"/>
      <c r="B957" s="2"/>
      <c r="C957" s="2"/>
      <c r="D957" s="2"/>
    </row>
    <row r="958" spans="1:4" s="27" customFormat="1" ht="12.75" customHeight="1" x14ac:dyDescent="0.2">
      <c r="A958" s="2"/>
      <c r="B958" s="2"/>
      <c r="C958" s="2"/>
      <c r="D958" s="2"/>
    </row>
    <row r="959" spans="1:4" s="27" customFormat="1" ht="12.75" customHeight="1" x14ac:dyDescent="0.2">
      <c r="A959" s="2"/>
      <c r="B959" s="2"/>
      <c r="C959" s="2"/>
      <c r="D959" s="2"/>
    </row>
    <row r="960" spans="1:4" s="27" customFormat="1" ht="12.75" customHeight="1" x14ac:dyDescent="0.2">
      <c r="A960" s="2"/>
      <c r="B960" s="2"/>
      <c r="C960" s="2"/>
      <c r="D960" s="2"/>
    </row>
    <row r="961" spans="1:4" s="27" customFormat="1" ht="12.75" customHeight="1" x14ac:dyDescent="0.2">
      <c r="A961" s="2"/>
      <c r="B961" s="2"/>
      <c r="C961" s="2"/>
      <c r="D961" s="2"/>
    </row>
    <row r="962" spans="1:4" s="27" customFormat="1" ht="12.75" customHeight="1" x14ac:dyDescent="0.2">
      <c r="A962" s="2"/>
      <c r="B962" s="2"/>
      <c r="C962" s="2"/>
      <c r="D962" s="2"/>
    </row>
    <row r="963" spans="1:4" s="27" customFormat="1" ht="12.75" customHeight="1" x14ac:dyDescent="0.2">
      <c r="A963" s="2"/>
      <c r="B963" s="2"/>
      <c r="C963" s="2"/>
      <c r="D963" s="2"/>
    </row>
    <row r="964" spans="1:4" s="27" customFormat="1" ht="12.75" customHeight="1" x14ac:dyDescent="0.2">
      <c r="A964" s="2"/>
      <c r="B964" s="2"/>
      <c r="C964" s="2"/>
      <c r="D964" s="2"/>
    </row>
    <row r="965" spans="1:4" s="27" customFormat="1" ht="12.75" customHeight="1" x14ac:dyDescent="0.2">
      <c r="A965" s="2"/>
      <c r="B965" s="2"/>
      <c r="C965" s="2"/>
      <c r="D965" s="2"/>
    </row>
    <row r="966" spans="1:4" s="27" customFormat="1" ht="12.75" customHeight="1" x14ac:dyDescent="0.2">
      <c r="A966" s="2"/>
      <c r="B966" s="2"/>
      <c r="C966" s="2"/>
      <c r="D966" s="2"/>
    </row>
    <row r="967" spans="1:4" s="27" customFormat="1" ht="12.75" customHeight="1" x14ac:dyDescent="0.2">
      <c r="A967" s="2"/>
      <c r="B967" s="2"/>
      <c r="C967" s="2"/>
      <c r="D967" s="2"/>
    </row>
    <row r="968" spans="1:4" s="27" customFormat="1" ht="12.75" customHeight="1" x14ac:dyDescent="0.2">
      <c r="A968" s="2"/>
      <c r="B968" s="2"/>
      <c r="C968" s="2"/>
      <c r="D968" s="2"/>
    </row>
    <row r="969" spans="1:4" s="27" customFormat="1" ht="12.75" customHeight="1" x14ac:dyDescent="0.2">
      <c r="A969" s="2"/>
      <c r="B969" s="2"/>
      <c r="C969" s="2"/>
      <c r="D969" s="2"/>
    </row>
    <row r="970" spans="1:4" s="27" customFormat="1" ht="12.75" customHeight="1" x14ac:dyDescent="0.2">
      <c r="A970" s="2"/>
      <c r="B970" s="2"/>
      <c r="C970" s="2"/>
      <c r="D970" s="2"/>
    </row>
    <row r="971" spans="1:4" s="27" customFormat="1" ht="12.75" customHeight="1" x14ac:dyDescent="0.2">
      <c r="A971" s="2"/>
      <c r="B971" s="2"/>
      <c r="C971" s="2"/>
      <c r="D971" s="2"/>
    </row>
    <row r="972" spans="1:4" s="27" customFormat="1" ht="12.75" customHeight="1" x14ac:dyDescent="0.2">
      <c r="A972" s="2"/>
      <c r="B972" s="2"/>
      <c r="C972" s="2"/>
      <c r="D972" s="2"/>
    </row>
    <row r="973" spans="1:4" s="27" customFormat="1" ht="12.75" customHeight="1" x14ac:dyDescent="0.2">
      <c r="A973" s="2"/>
      <c r="B973" s="2"/>
      <c r="C973" s="2"/>
      <c r="D973" s="2"/>
    </row>
    <row r="974" spans="1:4" s="27" customFormat="1" ht="12.75" customHeight="1" x14ac:dyDescent="0.2">
      <c r="A974" s="2"/>
      <c r="B974" s="2"/>
      <c r="C974" s="2"/>
      <c r="D974" s="2"/>
    </row>
    <row r="975" spans="1:4" s="27" customFormat="1" ht="12.75" customHeight="1" x14ac:dyDescent="0.2">
      <c r="A975" s="2"/>
      <c r="B975" s="2"/>
      <c r="C975" s="2"/>
      <c r="D975" s="2"/>
    </row>
    <row r="976" spans="1:4" s="27" customFormat="1" ht="12.75" customHeight="1" x14ac:dyDescent="0.2">
      <c r="A976" s="2"/>
      <c r="B976" s="2"/>
      <c r="C976" s="2"/>
      <c r="D976" s="2"/>
    </row>
    <row r="977" spans="1:4" s="27" customFormat="1" ht="12.75" customHeight="1" x14ac:dyDescent="0.2">
      <c r="A977" s="2"/>
      <c r="B977" s="2"/>
      <c r="C977" s="2"/>
      <c r="D977" s="2"/>
    </row>
    <row r="978" spans="1:4" s="27" customFormat="1" ht="12.75" customHeight="1" x14ac:dyDescent="0.2">
      <c r="A978" s="2"/>
      <c r="B978" s="2"/>
      <c r="C978" s="2"/>
      <c r="D978" s="2"/>
    </row>
    <row r="979" spans="1:4" s="27" customFormat="1" ht="12.75" customHeight="1" x14ac:dyDescent="0.2">
      <c r="A979" s="2"/>
      <c r="B979" s="2"/>
      <c r="C979" s="2"/>
      <c r="D979" s="2"/>
    </row>
    <row r="980" spans="1:4" s="27" customFormat="1" ht="12.75" customHeight="1" x14ac:dyDescent="0.2">
      <c r="A980" s="2"/>
      <c r="B980" s="2"/>
      <c r="C980" s="2"/>
      <c r="D980" s="2"/>
    </row>
    <row r="981" spans="1:4" s="27" customFormat="1" ht="12.75" customHeight="1" x14ac:dyDescent="0.2">
      <c r="A981" s="2"/>
      <c r="B981" s="2"/>
      <c r="C981" s="2"/>
      <c r="D981" s="2"/>
    </row>
    <row r="982" spans="1:4" s="27" customFormat="1" ht="12.75" customHeight="1" x14ac:dyDescent="0.2">
      <c r="A982" s="2"/>
      <c r="B982" s="2"/>
      <c r="C982" s="2"/>
      <c r="D982" s="2"/>
    </row>
    <row r="983" spans="1:4" s="27" customFormat="1" ht="12.75" customHeight="1" x14ac:dyDescent="0.2">
      <c r="A983" s="2"/>
      <c r="B983" s="2"/>
      <c r="C983" s="2"/>
      <c r="D983" s="2"/>
    </row>
    <row r="984" spans="1:4" s="27" customFormat="1" ht="12.75" customHeight="1" x14ac:dyDescent="0.2">
      <c r="A984" s="2"/>
      <c r="B984" s="2"/>
      <c r="C984" s="2"/>
      <c r="D984" s="2"/>
    </row>
    <row r="985" spans="1:4" s="27" customFormat="1" ht="12.75" customHeight="1" x14ac:dyDescent="0.2">
      <c r="A985" s="2"/>
      <c r="B985" s="2"/>
      <c r="C985" s="2"/>
      <c r="D985" s="2"/>
    </row>
    <row r="986" spans="1:4" s="27" customFormat="1" ht="12.75" customHeight="1" x14ac:dyDescent="0.2">
      <c r="A986" s="2"/>
      <c r="B986" s="2"/>
      <c r="C986" s="2"/>
      <c r="D986" s="2"/>
    </row>
    <row r="987" spans="1:4" s="27" customFormat="1" ht="12.75" customHeight="1" x14ac:dyDescent="0.2">
      <c r="A987" s="2"/>
      <c r="B987" s="2"/>
      <c r="C987" s="2"/>
      <c r="D987" s="2"/>
    </row>
    <row r="988" spans="1:4" s="27" customFormat="1" ht="12.75" customHeight="1" x14ac:dyDescent="0.2">
      <c r="A988" s="2"/>
      <c r="B988" s="2"/>
      <c r="C988" s="2"/>
      <c r="D988" s="2"/>
    </row>
    <row r="989" spans="1:4" s="27" customFormat="1" ht="12.75" customHeight="1" x14ac:dyDescent="0.2">
      <c r="A989" s="2"/>
      <c r="B989" s="2"/>
      <c r="C989" s="2"/>
      <c r="D989" s="2"/>
    </row>
    <row r="990" spans="1:4" s="27" customFormat="1" ht="12.75" customHeight="1" x14ac:dyDescent="0.2">
      <c r="A990" s="2"/>
      <c r="B990" s="2"/>
      <c r="C990" s="2"/>
      <c r="D990" s="2"/>
    </row>
    <row r="991" spans="1:4" s="27" customFormat="1" ht="12.75" customHeight="1" x14ac:dyDescent="0.2">
      <c r="A991" s="2"/>
      <c r="B991" s="2"/>
      <c r="C991" s="2"/>
      <c r="D991" s="2"/>
    </row>
    <row r="992" spans="1:4" s="27" customFormat="1" ht="12.75" customHeight="1" x14ac:dyDescent="0.2">
      <c r="A992" s="2"/>
      <c r="B992" s="2"/>
      <c r="C992" s="2"/>
      <c r="D992" s="2"/>
    </row>
    <row r="993" spans="1:4" s="27" customFormat="1" ht="12.75" customHeight="1" x14ac:dyDescent="0.2">
      <c r="A993" s="2"/>
      <c r="B993" s="2"/>
      <c r="C993" s="2"/>
      <c r="D993" s="2"/>
    </row>
    <row r="994" spans="1:4" s="27" customFormat="1" ht="12.75" customHeight="1" x14ac:dyDescent="0.2">
      <c r="A994" s="2"/>
      <c r="B994" s="2"/>
      <c r="C994" s="2"/>
      <c r="D994" s="2"/>
    </row>
    <row r="995" spans="1:4" s="27" customFormat="1" ht="12.75" customHeight="1" x14ac:dyDescent="0.2">
      <c r="A995" s="2"/>
      <c r="B995" s="2"/>
      <c r="C995" s="2"/>
      <c r="D995" s="2"/>
    </row>
    <row r="996" spans="1:4" s="27" customFormat="1" ht="12.75" customHeight="1" x14ac:dyDescent="0.2">
      <c r="A996" s="2"/>
      <c r="B996" s="2"/>
      <c r="C996" s="2"/>
      <c r="D996" s="2"/>
    </row>
    <row r="997" spans="1:4" s="27" customFormat="1" ht="12.75" customHeight="1" x14ac:dyDescent="0.2">
      <c r="A997" s="2"/>
      <c r="B997" s="2"/>
      <c r="C997" s="2"/>
      <c r="D997" s="2"/>
    </row>
    <row r="998" spans="1:4" s="27" customFormat="1" ht="12.75" customHeight="1" x14ac:dyDescent="0.2">
      <c r="A998" s="2"/>
      <c r="B998" s="2"/>
      <c r="C998" s="2"/>
      <c r="D998" s="2"/>
    </row>
    <row r="999" spans="1:4" s="27" customFormat="1" ht="12.75" customHeight="1" x14ac:dyDescent="0.2">
      <c r="A999" s="2"/>
      <c r="B999" s="2"/>
      <c r="C999" s="2"/>
      <c r="D999" s="2"/>
    </row>
    <row r="1000" spans="1:4" s="27" customFormat="1" ht="12.75" customHeight="1" x14ac:dyDescent="0.2">
      <c r="A1000" s="2"/>
      <c r="B1000" s="2"/>
      <c r="C1000" s="2"/>
      <c r="D1000" s="2"/>
    </row>
  </sheetData>
  <mergeCells count="8">
    <mergeCell ref="A32:D32"/>
    <mergeCell ref="B2:D2"/>
    <mergeCell ref="A1:D1"/>
    <mergeCell ref="B3:D3"/>
    <mergeCell ref="A31:D31"/>
    <mergeCell ref="A6:D6"/>
    <mergeCell ref="B4:D4"/>
    <mergeCell ref="A15:D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267"/>
  <sheetViews>
    <sheetView tabSelected="1" workbookViewId="0">
      <selection activeCell="B11" sqref="B11"/>
    </sheetView>
  </sheetViews>
  <sheetFormatPr defaultColWidth="14.42578125" defaultRowHeight="12.75" x14ac:dyDescent="0.2"/>
  <cols>
    <col min="1" max="1" width="32" style="27" customWidth="1"/>
    <col min="2" max="2" width="28" style="27" customWidth="1"/>
    <col min="3" max="28" width="30" customWidth="1"/>
    <col min="29" max="91" width="34" customWidth="1"/>
    <col min="92" max="112" width="32" style="27" customWidth="1"/>
  </cols>
  <sheetData>
    <row r="1" spans="1:112" s="27" customFormat="1" ht="12.75" customHeight="1" x14ac:dyDescent="0.2">
      <c r="A1" s="59" t="s">
        <v>15</v>
      </c>
      <c r="B1" s="17"/>
      <c r="C1" s="18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  <c r="T1" s="18">
        <v>18</v>
      </c>
      <c r="U1" s="18">
        <v>19</v>
      </c>
      <c r="V1" s="18">
        <v>20</v>
      </c>
      <c r="W1" s="18">
        <v>21</v>
      </c>
      <c r="X1" s="18">
        <v>22</v>
      </c>
      <c r="Y1" s="18">
        <v>23</v>
      </c>
      <c r="Z1" s="18">
        <v>24</v>
      </c>
      <c r="AA1" s="18">
        <v>25</v>
      </c>
      <c r="AB1" s="18">
        <v>26</v>
      </c>
      <c r="AC1" s="18">
        <v>27</v>
      </c>
      <c r="AD1" s="18">
        <v>28</v>
      </c>
      <c r="AE1" s="18">
        <v>29</v>
      </c>
      <c r="AF1" s="18">
        <v>30</v>
      </c>
      <c r="AG1" s="18">
        <v>31</v>
      </c>
      <c r="AH1" s="18">
        <v>32</v>
      </c>
      <c r="AI1" s="18">
        <v>33</v>
      </c>
      <c r="AJ1" s="18">
        <v>34</v>
      </c>
      <c r="AK1" s="18">
        <v>35</v>
      </c>
      <c r="AL1" s="18">
        <v>36</v>
      </c>
      <c r="AM1" s="18">
        <v>37</v>
      </c>
      <c r="AN1" s="18">
        <v>38</v>
      </c>
      <c r="AO1" s="18">
        <v>39</v>
      </c>
      <c r="AP1" s="18">
        <v>40</v>
      </c>
      <c r="AQ1" s="18">
        <v>41</v>
      </c>
      <c r="AR1" s="18">
        <v>42</v>
      </c>
      <c r="AS1" s="18">
        <v>43</v>
      </c>
      <c r="AT1" s="18">
        <v>44</v>
      </c>
      <c r="AU1" s="18">
        <v>45</v>
      </c>
      <c r="AV1" s="18">
        <v>46</v>
      </c>
      <c r="AW1" s="18">
        <v>47</v>
      </c>
      <c r="AX1" s="18">
        <v>48</v>
      </c>
      <c r="AY1" s="18">
        <v>49</v>
      </c>
      <c r="AZ1" s="18">
        <v>50</v>
      </c>
      <c r="BA1" s="18">
        <v>51</v>
      </c>
      <c r="BB1" s="18">
        <v>52</v>
      </c>
      <c r="BC1" s="18">
        <v>53</v>
      </c>
      <c r="BD1" s="18">
        <v>54</v>
      </c>
      <c r="BE1" s="18">
        <v>55</v>
      </c>
      <c r="BF1" s="18">
        <v>56</v>
      </c>
      <c r="BG1" s="18">
        <v>57</v>
      </c>
      <c r="BH1" s="18">
        <v>58</v>
      </c>
      <c r="BI1" s="18">
        <v>59</v>
      </c>
      <c r="BJ1" s="18">
        <v>60</v>
      </c>
      <c r="BK1" s="18">
        <v>61</v>
      </c>
      <c r="BL1" s="18">
        <v>62</v>
      </c>
      <c r="BM1" s="18">
        <v>63</v>
      </c>
      <c r="BN1" s="18">
        <v>64</v>
      </c>
      <c r="BO1" s="18">
        <v>65</v>
      </c>
      <c r="BP1" s="18">
        <v>66</v>
      </c>
      <c r="BQ1" s="18">
        <v>67</v>
      </c>
      <c r="BR1" s="18">
        <v>68</v>
      </c>
      <c r="BS1" s="18">
        <v>69</v>
      </c>
      <c r="BT1" s="18">
        <v>70</v>
      </c>
      <c r="BU1" s="18">
        <v>71</v>
      </c>
      <c r="BV1" s="18">
        <v>72</v>
      </c>
      <c r="BW1" s="18">
        <v>73</v>
      </c>
      <c r="BX1" s="18">
        <v>74</v>
      </c>
      <c r="BY1" s="18">
        <v>75</v>
      </c>
      <c r="BZ1" s="18">
        <v>76</v>
      </c>
      <c r="CA1" s="18">
        <v>77</v>
      </c>
      <c r="CB1" s="18">
        <v>78</v>
      </c>
      <c r="CC1" s="18">
        <v>79</v>
      </c>
      <c r="CD1" s="18">
        <v>80</v>
      </c>
      <c r="CE1" s="18">
        <v>81</v>
      </c>
      <c r="CF1" s="18">
        <v>82</v>
      </c>
      <c r="CG1" s="18">
        <v>83</v>
      </c>
      <c r="CH1" s="18">
        <v>84</v>
      </c>
      <c r="CI1" s="18">
        <v>85</v>
      </c>
      <c r="CJ1" s="18">
        <v>86</v>
      </c>
      <c r="CK1" s="18">
        <v>87</v>
      </c>
      <c r="CL1" s="18">
        <v>88</v>
      </c>
      <c r="CM1" s="18">
        <v>89</v>
      </c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</row>
    <row r="2" spans="1:112" s="27" customFormat="1" ht="12.75" customHeight="1" x14ac:dyDescent="0.2">
      <c r="A2" s="51" t="s">
        <v>16</v>
      </c>
      <c r="B2" s="17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</row>
    <row r="3" spans="1:112" s="27" customFormat="1" ht="12.75" customHeight="1" x14ac:dyDescent="0.2">
      <c r="A3" s="21" t="s">
        <v>17</v>
      </c>
      <c r="B3" s="17"/>
      <c r="C3" s="65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</row>
    <row r="4" spans="1:112" s="27" customFormat="1" ht="12.75" customHeight="1" x14ac:dyDescent="0.2">
      <c r="A4" s="61" t="s">
        <v>18</v>
      </c>
      <c r="B4" s="52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</row>
    <row r="5" spans="1:112" s="27" customFormat="1" ht="12.75" customHeight="1" x14ac:dyDescent="0.2">
      <c r="A5" s="61" t="s">
        <v>19</v>
      </c>
      <c r="B5" s="52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</row>
    <row r="6" spans="1:112" s="27" customFormat="1" ht="12.75" customHeight="1" x14ac:dyDescent="0.2">
      <c r="A6" s="21" t="s">
        <v>20</v>
      </c>
      <c r="B6" s="62"/>
      <c r="C6" s="65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</row>
    <row r="7" spans="1:112" s="27" customFormat="1" ht="12.75" customHeight="1" x14ac:dyDescent="0.2">
      <c r="A7" s="61" t="s">
        <v>21</v>
      </c>
      <c r="B7" s="61"/>
      <c r="C7" s="58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</row>
    <row r="8" spans="1:112" s="27" customFormat="1" ht="12.75" customHeight="1" x14ac:dyDescent="0.2">
      <c r="A8" s="61" t="s">
        <v>22</v>
      </c>
      <c r="B8" s="52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</row>
    <row r="9" spans="1:112" s="27" customFormat="1" ht="12.75" customHeight="1" x14ac:dyDescent="0.2">
      <c r="A9" s="61" t="s">
        <v>23</v>
      </c>
      <c r="B9" s="52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</row>
    <row r="10" spans="1:112" s="27" customFormat="1" ht="38.1" customHeight="1" x14ac:dyDescent="0.2">
      <c r="A10" s="61" t="s">
        <v>24</v>
      </c>
      <c r="B10" s="52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</row>
    <row r="11" spans="1:112" s="27" customFormat="1" ht="54" customHeight="1" x14ac:dyDescent="0.2">
      <c r="A11" s="61" t="s">
        <v>25</v>
      </c>
      <c r="B11" s="52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</row>
    <row r="12" spans="1:112" s="27" customFormat="1" ht="38.1" customHeight="1" x14ac:dyDescent="0.2">
      <c r="A12" s="61" t="s">
        <v>26</v>
      </c>
      <c r="B12" s="52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</row>
    <row r="13" spans="1:112" s="27" customFormat="1" ht="38.1" customHeight="1" x14ac:dyDescent="0.2">
      <c r="A13" s="61" t="s">
        <v>27</v>
      </c>
      <c r="B13" s="52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</row>
    <row r="14" spans="1:112" s="27" customFormat="1" ht="12.75" customHeight="1" x14ac:dyDescent="0.2">
      <c r="A14" s="61" t="s">
        <v>28</v>
      </c>
      <c r="B14" s="52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</row>
    <row r="15" spans="1:112" s="59" customFormat="1" ht="12.75" customHeight="1" x14ac:dyDescent="0.2">
      <c r="A15" s="61"/>
      <c r="B15" s="52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</row>
    <row r="16" spans="1:112" s="27" customFormat="1" ht="12.75" customHeight="1" x14ac:dyDescent="0.2">
      <c r="A16" s="59" t="s">
        <v>29</v>
      </c>
      <c r="B16" s="19"/>
      <c r="C16" s="67"/>
      <c r="D16" s="67"/>
      <c r="E16" s="67"/>
      <c r="F16" s="67"/>
      <c r="G16" s="67"/>
      <c r="H16" s="67"/>
      <c r="I16" s="67"/>
      <c r="J16" s="67"/>
      <c r="K16" s="67"/>
      <c r="L16" s="68"/>
      <c r="M16" s="66"/>
      <c r="N16" s="66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</row>
    <row r="17" spans="1:112" s="27" customFormat="1" ht="12.75" customHeight="1" x14ac:dyDescent="0.2">
      <c r="A17" s="59" t="s">
        <v>16</v>
      </c>
      <c r="B17" s="52"/>
      <c r="C17" s="66"/>
      <c r="D17" s="66"/>
      <c r="E17" s="66"/>
      <c r="F17" s="66"/>
      <c r="G17" s="66"/>
      <c r="H17" s="66"/>
      <c r="I17" s="66"/>
      <c r="J17" s="66"/>
      <c r="K17" s="66"/>
      <c r="L17" s="69"/>
      <c r="M17" s="66"/>
      <c r="N17" s="66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</row>
    <row r="18" spans="1:112" s="27" customFormat="1" ht="12.75" customHeight="1" x14ac:dyDescent="0.2">
      <c r="A18" s="21" t="s">
        <v>17</v>
      </c>
      <c r="B18" s="52"/>
      <c r="C18" s="66"/>
      <c r="D18" s="66"/>
      <c r="E18" s="66"/>
      <c r="F18" s="66"/>
      <c r="G18" s="66"/>
      <c r="H18" s="66"/>
      <c r="I18" s="66"/>
      <c r="J18" s="66"/>
      <c r="K18" s="66"/>
      <c r="L18" s="69"/>
      <c r="M18" s="66"/>
      <c r="N18" s="66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</row>
    <row r="19" spans="1:112" s="27" customFormat="1" ht="12.75" customHeight="1" x14ac:dyDescent="0.2">
      <c r="A19" s="61" t="s">
        <v>18</v>
      </c>
      <c r="B19" s="62"/>
      <c r="C19" s="66"/>
      <c r="D19" s="66"/>
      <c r="E19" s="66"/>
      <c r="F19" s="66"/>
      <c r="G19" s="66"/>
      <c r="H19" s="66"/>
      <c r="I19" s="66"/>
      <c r="J19" s="66"/>
      <c r="K19" s="66"/>
      <c r="L19" s="69"/>
      <c r="M19" s="66"/>
      <c r="N19" s="66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</row>
    <row r="20" spans="1:112" s="27" customFormat="1" ht="12.75" customHeight="1" x14ac:dyDescent="0.2">
      <c r="A20" s="61" t="s">
        <v>19</v>
      </c>
      <c r="B20" s="61"/>
      <c r="C20" s="66"/>
      <c r="D20" s="66"/>
      <c r="E20" s="66"/>
      <c r="F20" s="66"/>
      <c r="G20" s="66"/>
      <c r="H20" s="66"/>
      <c r="I20" s="66"/>
      <c r="J20" s="66"/>
      <c r="K20" s="66"/>
      <c r="L20" s="69"/>
      <c r="M20" s="66"/>
      <c r="N20" s="66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</row>
    <row r="21" spans="1:112" s="27" customFormat="1" ht="12.75" customHeight="1" x14ac:dyDescent="0.2">
      <c r="A21" s="21" t="s">
        <v>20</v>
      </c>
      <c r="B21" s="62"/>
      <c r="C21" s="66"/>
      <c r="D21" s="66"/>
      <c r="E21" s="66"/>
      <c r="F21" s="66"/>
      <c r="G21" s="66"/>
      <c r="H21" s="66"/>
      <c r="I21" s="66"/>
      <c r="J21" s="66"/>
      <c r="K21" s="66"/>
      <c r="L21" s="69"/>
      <c r="M21" s="66"/>
      <c r="N21" s="66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</row>
    <row r="22" spans="1:112" s="27" customFormat="1" ht="12.75" customHeight="1" x14ac:dyDescent="0.2">
      <c r="A22" s="61" t="s">
        <v>21</v>
      </c>
      <c r="B22" s="61"/>
      <c r="C22" s="66"/>
      <c r="D22" s="66"/>
      <c r="E22" s="66"/>
      <c r="F22" s="66"/>
      <c r="G22" s="66"/>
      <c r="H22" s="66"/>
      <c r="I22" s="66"/>
      <c r="J22" s="66"/>
      <c r="K22" s="66"/>
      <c r="L22" s="69"/>
      <c r="M22" s="66"/>
      <c r="N22" s="66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</row>
    <row r="23" spans="1:112" s="27" customFormat="1" ht="12.75" customHeight="1" x14ac:dyDescent="0.2">
      <c r="A23" s="61" t="s">
        <v>22</v>
      </c>
      <c r="B23" s="62"/>
      <c r="C23" s="66"/>
      <c r="D23" s="66"/>
      <c r="E23" s="66"/>
      <c r="F23" s="66"/>
      <c r="G23" s="66"/>
      <c r="H23" s="66"/>
      <c r="I23" s="66"/>
      <c r="J23" s="66"/>
      <c r="K23" s="66"/>
      <c r="L23" s="69"/>
      <c r="M23" s="66"/>
      <c r="N23" s="66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</row>
    <row r="24" spans="1:112" s="27" customFormat="1" ht="12.75" customHeight="1" x14ac:dyDescent="0.2">
      <c r="A24" s="61" t="s">
        <v>23</v>
      </c>
      <c r="B24" s="61"/>
      <c r="C24" s="66"/>
      <c r="D24" s="66"/>
      <c r="E24" s="66"/>
      <c r="F24" s="66"/>
      <c r="G24" s="66"/>
      <c r="H24" s="66"/>
      <c r="I24" s="66"/>
      <c r="J24" s="66"/>
      <c r="K24" s="66"/>
      <c r="L24" s="69"/>
      <c r="M24" s="66"/>
      <c r="N24" s="66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</row>
    <row r="25" spans="1:112" s="27" customFormat="1" ht="38.1" customHeight="1" x14ac:dyDescent="0.2">
      <c r="A25" s="61" t="s">
        <v>24</v>
      </c>
      <c r="B25" s="52"/>
      <c r="C25" s="66"/>
      <c r="D25" s="66"/>
      <c r="E25" s="66"/>
      <c r="F25" s="66"/>
      <c r="G25" s="66"/>
      <c r="H25" s="66"/>
      <c r="I25" s="66"/>
      <c r="J25" s="66"/>
      <c r="K25" s="66"/>
      <c r="L25" s="69"/>
      <c r="M25" s="66"/>
      <c r="N25" s="66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</row>
    <row r="26" spans="1:112" s="27" customFormat="1" ht="54" customHeight="1" x14ac:dyDescent="0.2">
      <c r="A26" s="61" t="s">
        <v>25</v>
      </c>
      <c r="B26" s="52"/>
      <c r="C26" s="66"/>
      <c r="D26" s="66"/>
      <c r="E26" s="66"/>
      <c r="F26" s="66"/>
      <c r="G26" s="66"/>
      <c r="H26" s="66"/>
      <c r="I26" s="66"/>
      <c r="J26" s="66"/>
      <c r="K26" s="66"/>
      <c r="L26" s="69"/>
      <c r="M26" s="66"/>
      <c r="N26" s="66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</row>
    <row r="27" spans="1:112" s="27" customFormat="1" ht="38.1" customHeight="1" x14ac:dyDescent="0.2">
      <c r="A27" s="61" t="s">
        <v>26</v>
      </c>
      <c r="B27" s="52"/>
      <c r="C27" s="66"/>
      <c r="D27" s="66"/>
      <c r="E27" s="66"/>
      <c r="F27" s="66"/>
      <c r="G27" s="66"/>
      <c r="H27" s="66"/>
      <c r="I27" s="66"/>
      <c r="J27" s="66"/>
      <c r="K27" s="66"/>
      <c r="L27" s="69"/>
      <c r="M27" s="66"/>
      <c r="N27" s="66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</row>
    <row r="28" spans="1:112" s="27" customFormat="1" ht="38.1" customHeight="1" x14ac:dyDescent="0.2">
      <c r="A28" s="61" t="s">
        <v>27</v>
      </c>
      <c r="B28" s="2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1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</row>
    <row r="29" spans="1:112" s="27" customFormat="1" ht="12.75" customHeight="1" x14ac:dyDescent="0.2">
      <c r="A29" s="61" t="s">
        <v>28</v>
      </c>
      <c r="B29" s="52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</row>
    <row r="30" spans="1:112" s="59" customFormat="1" ht="12.75" customHeight="1" x14ac:dyDescent="0.2">
      <c r="A30" s="61"/>
      <c r="B30" s="52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</row>
    <row r="31" spans="1:112" s="59" customFormat="1" ht="12.75" customHeight="1" x14ac:dyDescent="0.2">
      <c r="A31" s="59" t="s">
        <v>30</v>
      </c>
      <c r="B31" s="52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</row>
    <row r="32" spans="1:112" s="59" customFormat="1" ht="12.75" customHeight="1" x14ac:dyDescent="0.2">
      <c r="A32" s="59" t="s">
        <v>16</v>
      </c>
      <c r="B32" s="52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</row>
    <row r="33" spans="1:112" s="59" customFormat="1" ht="12.75" customHeight="1" x14ac:dyDescent="0.2">
      <c r="A33" s="21" t="s">
        <v>17</v>
      </c>
      <c r="B33" s="52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</row>
    <row r="34" spans="1:112" s="59" customFormat="1" ht="12.75" customHeight="1" x14ac:dyDescent="0.2">
      <c r="A34" s="61" t="s">
        <v>18</v>
      </c>
      <c r="B34" s="52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</row>
    <row r="35" spans="1:112" s="59" customFormat="1" ht="12.75" customHeight="1" x14ac:dyDescent="0.2">
      <c r="A35" s="61" t="s">
        <v>19</v>
      </c>
      <c r="B35" s="52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</row>
    <row r="36" spans="1:112" s="59" customFormat="1" ht="12.75" customHeight="1" x14ac:dyDescent="0.2">
      <c r="A36" s="21" t="s">
        <v>20</v>
      </c>
      <c r="B36" s="52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</row>
    <row r="37" spans="1:112" s="27" customFormat="1" ht="12.75" customHeight="1" x14ac:dyDescent="0.2">
      <c r="A37" s="61" t="s">
        <v>21</v>
      </c>
      <c r="B37" s="52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</row>
    <row r="38" spans="1:112" s="27" customFormat="1" ht="12.75" customHeight="1" x14ac:dyDescent="0.2">
      <c r="A38" s="61" t="s">
        <v>22</v>
      </c>
      <c r="B38" s="52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</row>
    <row r="39" spans="1:112" s="27" customFormat="1" ht="12.75" customHeight="1" x14ac:dyDescent="0.2">
      <c r="A39" s="61" t="s">
        <v>23</v>
      </c>
      <c r="B39" s="52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</row>
    <row r="40" spans="1:112" s="27" customFormat="1" ht="38.1" customHeight="1" x14ac:dyDescent="0.2">
      <c r="A40" s="61" t="s">
        <v>24</v>
      </c>
      <c r="B40" s="52"/>
      <c r="C40" s="72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</row>
    <row r="41" spans="1:112" s="27" customFormat="1" ht="54" customHeight="1" x14ac:dyDescent="0.2">
      <c r="A41" s="61" t="s">
        <v>25</v>
      </c>
      <c r="B41" s="2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</row>
    <row r="42" spans="1:112" s="27" customFormat="1" ht="38.1" customHeight="1" x14ac:dyDescent="0.2">
      <c r="A42" s="61" t="s">
        <v>26</v>
      </c>
      <c r="B42" s="2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</row>
    <row r="43" spans="1:112" s="59" customFormat="1" ht="38.1" customHeight="1" x14ac:dyDescent="0.2">
      <c r="A43" s="61" t="s">
        <v>27</v>
      </c>
      <c r="B43" s="2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</row>
    <row r="44" spans="1:112" s="59" customFormat="1" ht="38.1" customHeight="1" x14ac:dyDescent="0.2">
      <c r="A44" s="61" t="s">
        <v>28</v>
      </c>
      <c r="B44" s="2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</row>
    <row r="45" spans="1:112" s="59" customFormat="1" ht="300" customHeight="1" x14ac:dyDescent="0.2">
      <c r="A45" s="74" t="s">
        <v>31</v>
      </c>
      <c r="B45" s="2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</row>
    <row r="46" spans="1:112" s="59" customFormat="1" ht="360" customHeight="1" x14ac:dyDescent="0.2">
      <c r="A46" s="74" t="s">
        <v>32</v>
      </c>
      <c r="B46" s="2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</row>
    <row r="47" spans="1:112" s="59" customFormat="1" ht="409.5" customHeight="1" x14ac:dyDescent="0.2">
      <c r="A47" s="74" t="s">
        <v>33</v>
      </c>
      <c r="B47" s="74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</row>
    <row r="48" spans="1:112" s="59" customFormat="1" ht="138.75" customHeight="1" x14ac:dyDescent="0.2">
      <c r="A48" s="80" t="s">
        <v>34</v>
      </c>
      <c r="B48" s="80"/>
    </row>
    <row r="49" spans="1:112" s="59" customFormat="1" ht="38.1" customHeight="1" x14ac:dyDescent="0.2">
      <c r="A49" s="60" t="s">
        <v>35</v>
      </c>
      <c r="B49" s="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</row>
    <row r="50" spans="1:112" s="59" customFormat="1" ht="45" customHeight="1" x14ac:dyDescent="0.2">
      <c r="A50" s="59" t="s">
        <v>36</v>
      </c>
      <c r="B50" s="2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</row>
    <row r="51" spans="1:112" s="59" customFormat="1" ht="38.1" customHeight="1" x14ac:dyDescent="0.2">
      <c r="A51" s="80"/>
      <c r="B51" s="80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</row>
    <row r="52" spans="1:112" s="59" customFormat="1" ht="120" customHeight="1" x14ac:dyDescent="0.2">
      <c r="A52" s="79" t="s">
        <v>37</v>
      </c>
      <c r="B52" s="7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</row>
    <row r="53" spans="1:112" s="59" customFormat="1" ht="21.95" customHeight="1" x14ac:dyDescent="0.2">
      <c r="A53" s="30"/>
      <c r="B53" s="31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  <c r="CC53" s="31"/>
      <c r="CD53" s="31"/>
      <c r="CE53" s="31"/>
      <c r="CF53" s="31"/>
      <c r="CG53" s="31"/>
      <c r="CH53" s="31"/>
      <c r="CI53" s="31"/>
      <c r="CJ53" s="31"/>
      <c r="CK53" s="31"/>
      <c r="CL53" s="31"/>
      <c r="CM53" s="3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</row>
    <row r="54" spans="1:112" s="59" customFormat="1" ht="38.1" customHeight="1" x14ac:dyDescent="0.2">
      <c r="A54" s="33" t="s">
        <v>38</v>
      </c>
      <c r="B54" t="s">
        <v>39</v>
      </c>
      <c r="C54" s="29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</row>
    <row r="55" spans="1:112" s="59" customFormat="1" ht="38.1" customHeight="1" x14ac:dyDescent="0.2">
      <c r="A55" s="33" t="s">
        <v>40</v>
      </c>
      <c r="B55" t="s">
        <v>41</v>
      </c>
      <c r="C55" s="29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</row>
    <row r="56" spans="1:112" s="59" customFormat="1" ht="38.1" customHeight="1" x14ac:dyDescent="0.2">
      <c r="A56" s="33" t="s">
        <v>42</v>
      </c>
      <c r="B56" t="s">
        <v>43</v>
      </c>
      <c r="C56" s="29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</row>
    <row r="57" spans="1:112" s="59" customFormat="1" ht="38.1" customHeight="1" x14ac:dyDescent="0.2">
      <c r="A57" s="33" t="s">
        <v>44</v>
      </c>
      <c r="B57" t="s">
        <v>45</v>
      </c>
      <c r="C57" s="29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</row>
    <row r="58" spans="1:112" s="27" customFormat="1" ht="38.1" customHeight="1" x14ac:dyDescent="0.2">
      <c r="A58" s="33" t="s">
        <v>46</v>
      </c>
      <c r="B58" t="s">
        <v>47</v>
      </c>
      <c r="C58" s="29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</row>
    <row r="59" spans="1:112" s="28" customFormat="1" ht="38.1" customHeight="1" x14ac:dyDescent="0.2">
      <c r="A59" s="33" t="s">
        <v>48</v>
      </c>
      <c r="B59" t="s">
        <v>49</v>
      </c>
      <c r="C59" s="29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/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</row>
    <row r="60" spans="1:112" s="27" customFormat="1" ht="38.1" customHeight="1" x14ac:dyDescent="0.2">
      <c r="A60" s="33" t="s">
        <v>50</v>
      </c>
      <c r="B60" t="s">
        <v>51</v>
      </c>
      <c r="C60" s="29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</row>
    <row r="61" spans="1:112" s="27" customFormat="1" ht="38.1" customHeight="1" x14ac:dyDescent="0.2">
      <c r="A61" s="33" t="s">
        <v>52</v>
      </c>
      <c r="B61" t="s">
        <v>53</v>
      </c>
      <c r="C61" s="29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</row>
    <row r="62" spans="1:112" s="28" customFormat="1" ht="38.1" customHeight="1" x14ac:dyDescent="0.2">
      <c r="A62" s="33" t="s">
        <v>54</v>
      </c>
      <c r="B62" t="s">
        <v>55</v>
      </c>
      <c r="C62" s="29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</row>
    <row r="63" spans="1:112" s="27" customFormat="1" ht="72" customHeight="1" x14ac:dyDescent="0.2">
      <c r="A63" s="33" t="s">
        <v>56</v>
      </c>
      <c r="B63" t="s">
        <v>57</v>
      </c>
      <c r="C63" s="29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</row>
    <row r="64" spans="1:112" s="27" customFormat="1" ht="72" customHeight="1" x14ac:dyDescent="0.2">
      <c r="A64" s="33"/>
      <c r="B64" s="45"/>
      <c r="C64" s="5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</row>
    <row r="65" spans="1:112" s="27" customFormat="1" ht="72" customHeight="1" x14ac:dyDescent="0.2">
      <c r="A65" s="33"/>
      <c r="B65" s="45"/>
      <c r="C65" s="5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</row>
    <row r="66" spans="1:112" s="27" customFormat="1" ht="72" customHeight="1" x14ac:dyDescent="0.2">
      <c r="A66" s="33"/>
      <c r="B66" s="34"/>
      <c r="C66" s="45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</row>
    <row r="67" spans="1:112" s="27" customFormat="1" ht="72" customHeight="1" x14ac:dyDescent="0.2">
      <c r="A67" s="33"/>
      <c r="B67" s="34"/>
      <c r="C67" s="45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</row>
    <row r="68" spans="1:112" s="27" customFormat="1" ht="21.95" customHeight="1" x14ac:dyDescent="0.2">
      <c r="A68" s="33"/>
      <c r="B68" s="34"/>
      <c r="C68" s="45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</row>
    <row r="69" spans="1:112" s="27" customFormat="1" ht="72" customHeight="1" x14ac:dyDescent="0.2">
      <c r="A69" s="33"/>
      <c r="B69" s="34"/>
      <c r="C69" s="45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</row>
    <row r="70" spans="1:112" s="27" customFormat="1" ht="72" customHeight="1" x14ac:dyDescent="0.2">
      <c r="A70" s="33"/>
      <c r="B70" s="34"/>
      <c r="C70" s="45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</row>
    <row r="71" spans="1:112" s="27" customFormat="1" ht="72" customHeight="1" x14ac:dyDescent="0.2">
      <c r="A71" s="33"/>
      <c r="B71" s="34"/>
      <c r="C71" s="45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</row>
    <row r="72" spans="1:112" s="27" customFormat="1" ht="72" customHeight="1" x14ac:dyDescent="0.2">
      <c r="A72" s="33"/>
      <c r="B72" s="35"/>
      <c r="C72" s="46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37"/>
      <c r="CI72" s="37"/>
      <c r="CJ72" s="37"/>
      <c r="CK72" s="37"/>
      <c r="CL72" s="37"/>
      <c r="CM72" s="37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</row>
    <row r="73" spans="1:112" s="27" customFormat="1" ht="72" customHeight="1" x14ac:dyDescent="0.2">
      <c r="A73" s="33"/>
      <c r="B73" s="34"/>
      <c r="C73" s="45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  <c r="BK73" s="36"/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</row>
    <row r="74" spans="1:112" s="27" customFormat="1" ht="72" customHeight="1" x14ac:dyDescent="0.2">
      <c r="A74" s="33"/>
      <c r="B74" s="34"/>
      <c r="C74" s="45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</row>
    <row r="75" spans="1:112" s="27" customFormat="1" ht="72" customHeight="1" x14ac:dyDescent="0.2">
      <c r="A75" s="33"/>
      <c r="B75" s="34"/>
      <c r="C75" s="45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</row>
    <row r="76" spans="1:112" s="27" customFormat="1" ht="72" customHeight="1" x14ac:dyDescent="0.2">
      <c r="A76" s="33"/>
      <c r="B76" s="34"/>
      <c r="C76" s="45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</row>
    <row r="77" spans="1:112" s="27" customFormat="1" ht="72" customHeight="1" x14ac:dyDescent="0.2">
      <c r="A77" s="33"/>
      <c r="B77" s="34"/>
      <c r="C77" s="45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</row>
    <row r="78" spans="1:112" s="27" customFormat="1" ht="72" customHeight="1" x14ac:dyDescent="0.2">
      <c r="A78" s="33"/>
      <c r="B78" s="34"/>
      <c r="C78" s="45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</row>
    <row r="79" spans="1:112" s="27" customFormat="1" ht="72" customHeight="1" x14ac:dyDescent="0.2">
      <c r="A79" s="33"/>
      <c r="B79" s="34"/>
      <c r="C79" s="45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/>
      <c r="CI79" s="36"/>
      <c r="CJ79" s="36"/>
      <c r="CK79" s="36"/>
      <c r="CL79" s="36"/>
      <c r="CM79" s="36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</row>
    <row r="80" spans="1:112" s="27" customFormat="1" ht="72" customHeight="1" x14ac:dyDescent="0.2">
      <c r="A80" s="33"/>
      <c r="B80" s="34"/>
      <c r="C80" s="45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</row>
    <row r="81" spans="1:112" s="27" customFormat="1" ht="72" customHeight="1" x14ac:dyDescent="0.2">
      <c r="A81" s="33"/>
      <c r="B81" s="34"/>
      <c r="C81" s="45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</row>
    <row r="82" spans="1:112" s="27" customFormat="1" ht="21.95" customHeight="1" x14ac:dyDescent="0.2">
      <c r="A82" s="33"/>
      <c r="B82" s="34"/>
      <c r="C82" s="45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</row>
    <row r="83" spans="1:112" s="27" customFormat="1" ht="72" customHeight="1" x14ac:dyDescent="0.2">
      <c r="A83" s="33"/>
      <c r="B83" s="34"/>
      <c r="C83" s="45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</row>
    <row r="84" spans="1:112" s="27" customFormat="1" ht="72" customHeight="1" x14ac:dyDescent="0.2">
      <c r="A84" s="33"/>
      <c r="B84" s="34"/>
      <c r="C84" s="45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/>
      <c r="CL84" s="36"/>
      <c r="CM84" s="36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</row>
    <row r="85" spans="1:112" s="27" customFormat="1" ht="72" customHeight="1" x14ac:dyDescent="0.2">
      <c r="A85" s="33"/>
      <c r="B85" s="34"/>
      <c r="C85" s="45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/>
      <c r="CG85" s="36"/>
      <c r="CH85" s="36"/>
      <c r="CI85" s="36"/>
      <c r="CJ85" s="36"/>
      <c r="CK85" s="36"/>
      <c r="CL85" s="36"/>
      <c r="CM85" s="36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</row>
    <row r="86" spans="1:112" s="27" customFormat="1" ht="72" customHeight="1" x14ac:dyDescent="0.2">
      <c r="A86" s="33"/>
      <c r="B86" s="34"/>
      <c r="C86" s="45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</row>
    <row r="87" spans="1:112" s="27" customFormat="1" ht="72" customHeight="1" x14ac:dyDescent="0.2">
      <c r="A87" s="33"/>
      <c r="B87" s="34"/>
      <c r="C87" s="45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</row>
    <row r="88" spans="1:112" s="27" customFormat="1" ht="72" customHeight="1" x14ac:dyDescent="0.2">
      <c r="A88" s="33"/>
      <c r="B88" s="35"/>
      <c r="C88" s="46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  <c r="CI88" s="38"/>
      <c r="CJ88" s="38"/>
      <c r="CK88" s="38"/>
      <c r="CL88" s="38"/>
      <c r="CM88" s="38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</row>
    <row r="89" spans="1:112" s="27" customFormat="1" ht="72" customHeight="1" x14ac:dyDescent="0.2">
      <c r="A89" s="33"/>
      <c r="B89" s="34"/>
      <c r="C89" s="45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</row>
    <row r="90" spans="1:112" s="27" customFormat="1" ht="72" customHeight="1" x14ac:dyDescent="0.2">
      <c r="A90" s="33"/>
      <c r="B90" s="34"/>
      <c r="C90" s="45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</row>
    <row r="91" spans="1:112" s="27" customFormat="1" ht="72" customHeight="1" x14ac:dyDescent="0.2">
      <c r="A91" s="33"/>
      <c r="B91" s="34"/>
      <c r="C91" s="45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  <c r="BK91" s="36"/>
      <c r="BL91" s="36"/>
      <c r="BM91" s="36"/>
      <c r="BN91" s="36"/>
      <c r="BO91" s="36"/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</row>
    <row r="92" spans="1:112" s="27" customFormat="1" ht="72" customHeight="1" x14ac:dyDescent="0.2">
      <c r="A92" s="33"/>
      <c r="B92" s="34"/>
      <c r="C92" s="45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/>
      <c r="CL92" s="36"/>
      <c r="CM92" s="36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</row>
    <row r="93" spans="1:112" s="27" customFormat="1" ht="72" customHeight="1" x14ac:dyDescent="0.2">
      <c r="A93" s="33"/>
      <c r="B93" s="34"/>
      <c r="C93" s="45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</row>
    <row r="94" spans="1:112" s="27" customFormat="1" ht="72" customHeight="1" x14ac:dyDescent="0.2">
      <c r="A94" s="33"/>
      <c r="B94" s="34"/>
      <c r="C94" s="45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</row>
    <row r="95" spans="1:112" s="27" customFormat="1" ht="72" customHeight="1" x14ac:dyDescent="0.2">
      <c r="A95" s="33"/>
      <c r="B95" s="34"/>
      <c r="C95" s="45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</row>
    <row r="96" spans="1:112" s="27" customFormat="1" ht="45" customHeight="1" x14ac:dyDescent="0.2">
      <c r="A96" s="33"/>
      <c r="B96" s="34"/>
      <c r="C96" s="45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  <c r="CD96" s="36"/>
      <c r="CE96" s="36"/>
      <c r="CF96" s="36"/>
      <c r="CG96" s="36"/>
      <c r="CH96" s="36"/>
      <c r="CI96" s="36"/>
      <c r="CJ96" s="36"/>
      <c r="CK96" s="36"/>
      <c r="CL96" s="36"/>
      <c r="CM96" s="36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</row>
    <row r="97" spans="1:112" s="27" customFormat="1" ht="45" customHeight="1" x14ac:dyDescent="0.2">
      <c r="A97" s="34"/>
      <c r="B97" s="34"/>
      <c r="C97" s="45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/>
      <c r="CD97" s="36"/>
      <c r="CE97" s="36"/>
      <c r="CF97" s="36"/>
      <c r="CG97" s="36"/>
      <c r="CH97" s="36"/>
      <c r="CI97" s="36"/>
      <c r="CJ97" s="36"/>
      <c r="CK97" s="36"/>
      <c r="CL97" s="36"/>
      <c r="CM97" s="36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</row>
    <row r="98" spans="1:112" s="27" customFormat="1" ht="45" customHeight="1" x14ac:dyDescent="0.2">
      <c r="A98" s="34"/>
      <c r="B98" s="34"/>
      <c r="C98" s="45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</row>
    <row r="99" spans="1:112" s="27" customFormat="1" ht="45" customHeight="1" x14ac:dyDescent="0.2">
      <c r="A99" s="34"/>
      <c r="B99" s="34"/>
      <c r="C99" s="45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</row>
    <row r="100" spans="1:112" s="27" customFormat="1" ht="45" customHeight="1" x14ac:dyDescent="0.2">
      <c r="A100" s="34"/>
      <c r="B100" s="34"/>
      <c r="C100" s="45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</row>
    <row r="101" spans="1:112" s="27" customFormat="1" ht="45" customHeight="1" x14ac:dyDescent="0.2">
      <c r="A101" s="34"/>
      <c r="B101" s="34"/>
      <c r="C101" s="45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</row>
    <row r="102" spans="1:112" s="27" customFormat="1" ht="27.95" customHeight="1" x14ac:dyDescent="0.2">
      <c r="A102" s="34"/>
      <c r="B102" s="35"/>
      <c r="C102" s="46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</row>
    <row r="103" spans="1:112" s="27" customFormat="1" ht="45" customHeight="1" x14ac:dyDescent="0.2">
      <c r="A103" s="35"/>
      <c r="B103" s="34"/>
      <c r="C103" s="45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</row>
    <row r="104" spans="1:112" s="27" customFormat="1" ht="45" customHeight="1" x14ac:dyDescent="0.2">
      <c r="A104" s="34"/>
      <c r="B104" s="34"/>
      <c r="C104" s="45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</row>
    <row r="105" spans="1:112" s="27" customFormat="1" ht="45" customHeight="1" x14ac:dyDescent="0.2">
      <c r="A105" s="34"/>
      <c r="B105" s="34"/>
      <c r="C105" s="45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</row>
    <row r="106" spans="1:112" s="27" customFormat="1" ht="45" customHeight="1" x14ac:dyDescent="0.2">
      <c r="A106" s="34"/>
      <c r="B106" s="34"/>
      <c r="C106" s="45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</row>
    <row r="107" spans="1:112" s="27" customFormat="1" ht="45" customHeight="1" x14ac:dyDescent="0.2">
      <c r="A107" s="34"/>
      <c r="B107" s="34"/>
      <c r="C107" s="45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</row>
    <row r="108" spans="1:112" s="27" customFormat="1" ht="45" customHeight="1" x14ac:dyDescent="0.2">
      <c r="A108" s="34"/>
      <c r="B108" s="34"/>
      <c r="C108" s="45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</row>
    <row r="109" spans="1:112" s="27" customFormat="1" ht="45" customHeight="1" x14ac:dyDescent="0.2">
      <c r="A109" s="34"/>
      <c r="B109" s="34"/>
      <c r="C109" s="45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</row>
    <row r="110" spans="1:112" s="27" customFormat="1" ht="45" customHeight="1" x14ac:dyDescent="0.2">
      <c r="A110" s="34"/>
      <c r="B110" s="34"/>
      <c r="C110" s="45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</row>
    <row r="111" spans="1:112" s="27" customFormat="1" ht="45" customHeight="1" x14ac:dyDescent="0.2">
      <c r="A111" s="34"/>
      <c r="B111" s="34"/>
      <c r="C111" s="45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</row>
    <row r="112" spans="1:112" s="27" customFormat="1" ht="45" customHeight="1" x14ac:dyDescent="0.2">
      <c r="A112" s="34"/>
      <c r="B112" s="34"/>
      <c r="C112" s="45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</row>
    <row r="113" spans="1:112" s="27" customFormat="1" ht="27.95" customHeight="1" x14ac:dyDescent="0.2">
      <c r="A113" s="34"/>
      <c r="B113" s="35"/>
      <c r="C113" s="46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/>
      <c r="BL113" s="40"/>
      <c r="BM113" s="40"/>
      <c r="BN113" s="40"/>
      <c r="BO113" s="40"/>
      <c r="BP113" s="40"/>
      <c r="BQ113" s="40"/>
      <c r="BR113" s="40"/>
      <c r="BS113" s="40"/>
      <c r="BT113" s="40"/>
      <c r="BU113" s="40"/>
      <c r="BV113" s="40"/>
      <c r="BW113" s="40"/>
      <c r="BX113" s="40"/>
      <c r="BY113" s="40"/>
      <c r="BZ113" s="40"/>
      <c r="CA113" s="40"/>
      <c r="CB113" s="40"/>
      <c r="CC113" s="40"/>
      <c r="CD113" s="40"/>
      <c r="CE113" s="40"/>
      <c r="CF113" s="40"/>
      <c r="CG113" s="40"/>
      <c r="CH113" s="40"/>
      <c r="CI113" s="40"/>
      <c r="CJ113" s="40"/>
      <c r="CK113" s="40"/>
      <c r="CL113" s="40"/>
      <c r="CM113" s="40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</row>
    <row r="114" spans="1:112" s="27" customFormat="1" ht="45" customHeight="1" x14ac:dyDescent="0.2">
      <c r="A114" s="34"/>
      <c r="B114" s="34"/>
      <c r="C114" s="45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</row>
    <row r="115" spans="1:112" s="27" customFormat="1" ht="45" customHeight="1" x14ac:dyDescent="0.2">
      <c r="A115" s="34"/>
      <c r="B115" s="34"/>
      <c r="C115" s="45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</row>
    <row r="116" spans="1:112" s="27" customFormat="1" ht="45" customHeight="1" x14ac:dyDescent="0.2">
      <c r="A116" s="34"/>
      <c r="B116" s="34"/>
      <c r="C116" s="45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</row>
    <row r="117" spans="1:112" s="27" customFormat="1" ht="45" customHeight="1" x14ac:dyDescent="0.2">
      <c r="A117" s="35"/>
      <c r="B117" s="34"/>
      <c r="C117" s="45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</row>
    <row r="118" spans="1:112" s="27" customFormat="1" ht="45" customHeight="1" x14ac:dyDescent="0.2">
      <c r="A118" s="34"/>
      <c r="B118" s="34"/>
      <c r="C118" s="45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</row>
    <row r="119" spans="1:112" s="27" customFormat="1" ht="45" customHeight="1" x14ac:dyDescent="0.2">
      <c r="A119" s="34"/>
      <c r="B119" s="34"/>
      <c r="C119" s="45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</row>
    <row r="120" spans="1:112" s="27" customFormat="1" ht="45" customHeight="1" x14ac:dyDescent="0.2">
      <c r="A120" s="34"/>
      <c r="B120" s="34"/>
      <c r="C120" s="45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/>
      <c r="CL120" s="36"/>
      <c r="CM120" s="36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</row>
    <row r="121" spans="1:112" s="27" customFormat="1" ht="45" customHeight="1" x14ac:dyDescent="0.2">
      <c r="A121" s="34"/>
      <c r="B121" s="34"/>
      <c r="C121" s="45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/>
      <c r="BZ121" s="36"/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</row>
    <row r="122" spans="1:112" s="27" customFormat="1" ht="45" customHeight="1" x14ac:dyDescent="0.2">
      <c r="A122" s="34"/>
      <c r="B122" s="34"/>
      <c r="C122" s="45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/>
      <c r="CL122" s="36"/>
      <c r="CM122" s="36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</row>
    <row r="123" spans="1:112" s="27" customFormat="1" ht="45" customHeight="1" x14ac:dyDescent="0.2">
      <c r="A123" s="34"/>
      <c r="B123" s="34"/>
      <c r="C123" s="45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</row>
    <row r="124" spans="1:112" s="27" customFormat="1" ht="45" customHeight="1" x14ac:dyDescent="0.2">
      <c r="A124" s="34"/>
      <c r="B124" s="34"/>
      <c r="C124" s="45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  <c r="CD124" s="36"/>
      <c r="CE124" s="36"/>
      <c r="CF124" s="36"/>
      <c r="CG124" s="36"/>
      <c r="CH124" s="36"/>
      <c r="CI124" s="36"/>
      <c r="CJ124" s="36"/>
      <c r="CK124" s="36"/>
      <c r="CL124" s="36"/>
      <c r="CM124" s="36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</row>
    <row r="125" spans="1:112" s="27" customFormat="1" ht="27.95" customHeight="1" x14ac:dyDescent="0.2">
      <c r="A125" s="34"/>
      <c r="B125" s="35"/>
      <c r="C125" s="46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  <c r="AO125" s="41"/>
      <c r="AP125" s="41"/>
      <c r="AQ125" s="41"/>
      <c r="AR125" s="41"/>
      <c r="AS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1"/>
      <c r="BE125" s="41"/>
      <c r="BF125" s="41"/>
      <c r="BG125" s="41"/>
      <c r="BH125" s="41"/>
      <c r="BI125" s="41"/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1"/>
      <c r="CB125" s="41"/>
      <c r="CC125" s="41"/>
      <c r="CD125" s="41"/>
      <c r="CE125" s="41"/>
      <c r="CF125" s="41"/>
      <c r="CG125" s="41"/>
      <c r="CH125" s="41"/>
      <c r="CI125" s="41"/>
      <c r="CJ125" s="41"/>
      <c r="CK125" s="41"/>
      <c r="CL125" s="41"/>
      <c r="CM125" s="41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</row>
    <row r="126" spans="1:112" s="27" customFormat="1" ht="45" customHeight="1" x14ac:dyDescent="0.2">
      <c r="A126" s="34"/>
      <c r="B126" s="34"/>
      <c r="C126" s="45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</row>
    <row r="127" spans="1:112" s="27" customFormat="1" ht="45" customHeight="1" x14ac:dyDescent="0.2">
      <c r="A127" s="34"/>
      <c r="B127" s="34"/>
      <c r="C127" s="45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</row>
    <row r="128" spans="1:112" s="27" customFormat="1" ht="45" customHeight="1" x14ac:dyDescent="0.2">
      <c r="A128" s="35"/>
      <c r="B128" s="34"/>
      <c r="C128" s="45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</row>
    <row r="129" spans="1:112" s="27" customFormat="1" ht="45" customHeight="1" x14ac:dyDescent="0.2">
      <c r="A129" s="34"/>
      <c r="B129" s="34"/>
      <c r="C129" s="45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</row>
    <row r="130" spans="1:112" s="27" customFormat="1" ht="45" customHeight="1" x14ac:dyDescent="0.2">
      <c r="A130" s="34"/>
      <c r="B130" s="34"/>
      <c r="C130" s="45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/>
      <c r="CH130" s="36"/>
      <c r="CI130" s="36"/>
      <c r="CJ130" s="36"/>
      <c r="CK130" s="36"/>
      <c r="CL130" s="36"/>
      <c r="CM130" s="36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</row>
    <row r="131" spans="1:112" s="27" customFormat="1" ht="45" customHeight="1" x14ac:dyDescent="0.2">
      <c r="A131" s="34"/>
      <c r="B131" s="34"/>
      <c r="C131" s="45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</row>
    <row r="132" spans="1:112" s="27" customFormat="1" ht="27.95" customHeight="1" x14ac:dyDescent="0.2">
      <c r="A132" s="34"/>
      <c r="B132" s="35"/>
      <c r="C132" s="46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  <c r="BA132" s="42"/>
      <c r="BB132" s="42"/>
      <c r="BC132" s="42"/>
      <c r="BD132" s="42"/>
      <c r="BE132" s="42"/>
      <c r="BF132" s="42"/>
      <c r="BG132" s="42"/>
      <c r="BH132" s="42"/>
      <c r="BI132" s="42"/>
      <c r="BJ132" s="42"/>
      <c r="BK132" s="42"/>
      <c r="BL132" s="42"/>
      <c r="BM132" s="42"/>
      <c r="BN132" s="42"/>
      <c r="BO132" s="42"/>
      <c r="BP132" s="42"/>
      <c r="BQ132" s="42"/>
      <c r="BR132" s="42"/>
      <c r="BS132" s="42"/>
      <c r="BT132" s="42"/>
      <c r="BU132" s="42"/>
      <c r="BV132" s="42"/>
      <c r="BW132" s="42"/>
      <c r="BX132" s="42"/>
      <c r="BY132" s="42"/>
      <c r="BZ132" s="42"/>
      <c r="CA132" s="42"/>
      <c r="CB132" s="42"/>
      <c r="CC132" s="42"/>
      <c r="CD132" s="42"/>
      <c r="CE132" s="42"/>
      <c r="CF132" s="42"/>
      <c r="CG132" s="42"/>
      <c r="CH132" s="42"/>
      <c r="CI132" s="42"/>
      <c r="CJ132" s="42"/>
      <c r="CK132" s="42"/>
      <c r="CL132" s="42"/>
      <c r="CM132" s="4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</row>
    <row r="133" spans="1:112" s="27" customFormat="1" ht="45" customHeight="1" x14ac:dyDescent="0.2">
      <c r="A133" s="34"/>
      <c r="B133" s="34"/>
      <c r="C133" s="45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</row>
    <row r="134" spans="1:112" s="27" customFormat="1" ht="45" customHeight="1" x14ac:dyDescent="0.2">
      <c r="A134" s="34"/>
      <c r="B134" s="34"/>
      <c r="C134" s="45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</row>
    <row r="135" spans="1:112" s="27" customFormat="1" ht="45" customHeight="1" x14ac:dyDescent="0.2">
      <c r="A135" s="34"/>
      <c r="B135" s="34"/>
      <c r="C135" s="45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</row>
    <row r="136" spans="1:112" s="27" customFormat="1" ht="45" customHeight="1" x14ac:dyDescent="0.2">
      <c r="A136" s="34"/>
      <c r="B136" s="34"/>
      <c r="C136" s="45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</row>
    <row r="137" spans="1:112" s="27" customFormat="1" ht="45" customHeight="1" x14ac:dyDescent="0.2">
      <c r="A137" s="34"/>
      <c r="B137" s="34"/>
      <c r="C137" s="45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/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</row>
    <row r="138" spans="1:112" s="27" customFormat="1" ht="45" customHeight="1" x14ac:dyDescent="0.2">
      <c r="A138" s="34"/>
      <c r="B138" s="34"/>
      <c r="C138" s="45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</row>
    <row r="139" spans="1:112" s="27" customFormat="1" ht="45" customHeight="1" x14ac:dyDescent="0.2">
      <c r="A139" s="34"/>
      <c r="B139" s="34"/>
      <c r="C139" s="45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</row>
    <row r="140" spans="1:112" s="27" customFormat="1" ht="27.95" customHeight="1" x14ac:dyDescent="0.2">
      <c r="A140" s="35"/>
      <c r="B140" s="35"/>
      <c r="C140" s="46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/>
      <c r="BR140" s="43"/>
      <c r="BS140" s="43"/>
      <c r="BT140" s="43"/>
      <c r="BU140" s="43"/>
      <c r="BV140" s="43"/>
      <c r="BW140" s="43"/>
      <c r="BX140" s="43"/>
      <c r="BY140" s="43"/>
      <c r="BZ140" s="43"/>
      <c r="CA140" s="43"/>
      <c r="CB140" s="43"/>
      <c r="CC140" s="43"/>
      <c r="CD140" s="43"/>
      <c r="CE140" s="43"/>
      <c r="CF140" s="43"/>
      <c r="CG140" s="43"/>
      <c r="CH140" s="43"/>
      <c r="CI140" s="43"/>
      <c r="CJ140" s="43"/>
      <c r="CK140" s="43"/>
      <c r="CL140" s="43"/>
      <c r="CM140" s="43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</row>
    <row r="141" spans="1:112" s="27" customFormat="1" ht="45" customHeight="1" x14ac:dyDescent="0.2">
      <c r="A141" s="34"/>
      <c r="B141" s="34"/>
      <c r="C141" s="45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</row>
    <row r="142" spans="1:112" s="27" customFormat="1" ht="45" customHeight="1" x14ac:dyDescent="0.2">
      <c r="A142" s="34"/>
      <c r="B142" s="34"/>
      <c r="C142" s="45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</row>
    <row r="143" spans="1:112" s="27" customFormat="1" ht="45" customHeight="1" x14ac:dyDescent="0.2">
      <c r="A143" s="34"/>
      <c r="B143" s="34"/>
      <c r="C143" s="45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</row>
    <row r="144" spans="1:112" s="27" customFormat="1" ht="45" customHeight="1" x14ac:dyDescent="0.2">
      <c r="A144" s="34"/>
      <c r="B144" s="34"/>
      <c r="C144" s="45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</row>
    <row r="145" spans="1:112" s="27" customFormat="1" ht="45" customHeight="1" x14ac:dyDescent="0.2">
      <c r="A145" s="34"/>
      <c r="B145" s="34"/>
      <c r="C145" s="45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</row>
    <row r="146" spans="1:112" s="27" customFormat="1" ht="45" customHeight="1" x14ac:dyDescent="0.2">
      <c r="A146" s="34"/>
      <c r="B146" s="34"/>
      <c r="C146" s="45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</row>
    <row r="147" spans="1:112" s="27" customFormat="1" ht="45" customHeight="1" x14ac:dyDescent="0.2">
      <c r="A147" s="35"/>
      <c r="B147" s="34"/>
      <c r="C147" s="45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/>
      <c r="BZ147" s="36"/>
      <c r="CA147" s="36"/>
      <c r="CB147" s="36"/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</row>
    <row r="148" spans="1:112" s="27" customFormat="1" ht="45" customHeight="1" x14ac:dyDescent="0.2">
      <c r="A148" s="34"/>
      <c r="B148" s="34"/>
      <c r="C148" s="45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</row>
    <row r="149" spans="1:112" s="27" customFormat="1" ht="45" customHeight="1" x14ac:dyDescent="0.2">
      <c r="A149" s="34"/>
      <c r="B149" s="34"/>
      <c r="C149" s="45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</row>
    <row r="150" spans="1:112" s="27" customFormat="1" ht="27.95" customHeight="1" x14ac:dyDescent="0.2">
      <c r="A150" s="34"/>
      <c r="B150" s="35"/>
      <c r="C150" s="46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4"/>
      <c r="CB150" s="44"/>
      <c r="CC150" s="44"/>
      <c r="CD150" s="44"/>
      <c r="CE150" s="44"/>
      <c r="CF150" s="44"/>
      <c r="CG150" s="44"/>
      <c r="CH150" s="44"/>
      <c r="CI150" s="44"/>
      <c r="CJ150" s="44"/>
      <c r="CK150" s="44"/>
      <c r="CL150" s="44"/>
      <c r="CM150" s="44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</row>
    <row r="151" spans="1:112" s="27" customFormat="1" ht="45" customHeight="1" x14ac:dyDescent="0.2">
      <c r="A151" s="34"/>
      <c r="B151" s="34"/>
      <c r="C151" s="45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</row>
    <row r="152" spans="1:112" s="27" customFormat="1" ht="45" customHeight="1" x14ac:dyDescent="0.2">
      <c r="A152" s="34"/>
      <c r="B152" s="34"/>
      <c r="C152" s="45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</row>
    <row r="153" spans="1:112" s="27" customFormat="1" ht="69.95" customHeight="1" x14ac:dyDescent="0.2">
      <c r="A153" s="34"/>
      <c r="B153" s="34"/>
      <c r="C153" s="45"/>
      <c r="D153" s="36" t="str">
        <f>"D ФОТО/РЕФЕРЕНС | Фон: "&amp;D86&amp;" | Персонаж: "&amp;D100&amp;" | Сборка: "&amp;D111&amp;" | Сохранить: "&amp;D67&amp;" | Изменить: "&amp;D68&amp;" | Нельзя: "&amp;D110</f>
        <v xml:space="preserve">D ФОТО/РЕФЕРЕНС | Фон:  | Персонаж:  | Сборка:  | Сохранить:  | Изменить:  | Нельзя: </v>
      </c>
      <c r="E153" s="36" t="str">
        <f>"E ФОТО/РЕФЕРЕНС | Фон: "&amp;E86&amp;" | Персонаж: "&amp;E100&amp;" | Сборка: "&amp;E111&amp;" | Сохранить: "&amp;E67&amp;" | Изменить: "&amp;E68&amp;" | Нельзя: "&amp;E110</f>
        <v xml:space="preserve">E ФОТО/РЕФЕРЕНС | Фон:  | Персонаж:  | Сборка:  | Сохранить:  | Изменить:  | Нельзя: </v>
      </c>
      <c r="F153" s="36" t="str">
        <f>"F ФОТО/РЕФЕРЕНС | Фон: "&amp;F86&amp;" | Персонаж: "&amp;F100&amp;" | Сборка: "&amp;F111&amp;" | Сохранить: "&amp;F67&amp;" | Изменить: "&amp;F68&amp;" | Нельзя: "&amp;F110</f>
        <v xml:space="preserve">F ФОТО/РЕФЕРЕНС | Фон:  | Персонаж:  | Сборка:  | Сохранить:  | Изменить:  | Нельзя: </v>
      </c>
      <c r="G153" s="36" t="str">
        <f>"G ФОТО/РЕФЕРЕНС | Фон: "&amp;G86&amp;" | Персонаж: "&amp;G100&amp;" | Сборка: "&amp;G111&amp;" | Сохранить: "&amp;G67&amp;" | Изменить: "&amp;G68&amp;" | Нельзя: "&amp;G110</f>
        <v xml:space="preserve">G ФОТО/РЕФЕРЕНС | Фон:  | Персонаж:  | Сборка:  | Сохранить:  | Изменить:  | Нельзя: </v>
      </c>
      <c r="H153" s="36" t="str">
        <f>"H ФОТО/РЕФЕРЕНС | Фон: "&amp;H86&amp;" | Персонаж: "&amp;H100&amp;" | Сборка: "&amp;H111&amp;" | Сохранить: "&amp;H67&amp;" | Изменить: "&amp;H68&amp;" | Нельзя: "&amp;H110</f>
        <v xml:space="preserve">H ФОТО/РЕФЕРЕНС | Фон:  | Персонаж:  | Сборка:  | Сохранить:  | Изменить:  | Нельзя: </v>
      </c>
      <c r="I153" s="36" t="str">
        <f>"I ФОТО/РЕФЕРЕНС | Фон: "&amp;I86&amp;" | Персонаж: "&amp;I100&amp;" | Сборка: "&amp;I111&amp;" | Сохранить: "&amp;I67&amp;" | Изменить: "&amp;I68&amp;" | Нельзя: "&amp;I110</f>
        <v xml:space="preserve">I ФОТО/РЕФЕРЕНС | Фон:  | Персонаж:  | Сборка:  | Сохранить:  | Изменить:  | Нельзя: </v>
      </c>
      <c r="J153" s="36" t="str">
        <f>"J ФОТО/РЕФЕРЕНС | Фон: "&amp;J86&amp;" | Персонаж: "&amp;J100&amp;" | Сборка: "&amp;J111&amp;" | Сохранить: "&amp;J67&amp;" | Изменить: "&amp;J68&amp;" | Нельзя: "&amp;J110</f>
        <v xml:space="preserve">J ФОТО/РЕФЕРЕНС | Фон:  | Персонаж:  | Сборка:  | Сохранить:  | Изменить:  | Нельзя: </v>
      </c>
      <c r="K153" s="36" t="str">
        <f>"K ФОТО/РЕФЕРЕНС | Фон: "&amp;K86&amp;" | Персонаж: "&amp;K100&amp;" | Сборка: "&amp;K111&amp;" | Сохранить: "&amp;K67&amp;" | Изменить: "&amp;K68&amp;" | Нельзя: "&amp;K110</f>
        <v xml:space="preserve">K ФОТО/РЕФЕРЕНС | Фон:  | Персонаж:  | Сборка:  | Сохранить:  | Изменить:  | Нельзя: </v>
      </c>
      <c r="L153" s="36" t="str">
        <f>"L ФОТО/РЕФЕРЕНС | Фон: "&amp;L86&amp;" | Персонаж: "&amp;L100&amp;" | Сборка: "&amp;L111&amp;" | Сохранить: "&amp;L67&amp;" | Изменить: "&amp;L68&amp;" | Нельзя: "&amp;L110</f>
        <v xml:space="preserve">L ФОТО/РЕФЕРЕНС | Фон:  | Персонаж:  | Сборка:  | Сохранить:  | Изменить:  | Нельзя: </v>
      </c>
      <c r="M153" s="36" t="str">
        <f>"M ФОТО/РЕФЕРЕНС | Фон: "&amp;M86&amp;" | Персонаж: "&amp;M100&amp;" | Сборка: "&amp;M111&amp;" | Сохранить: "&amp;M67&amp;" | Изменить: "&amp;M68&amp;" | Нельзя: "&amp;M110</f>
        <v xml:space="preserve">M ФОТО/РЕФЕРЕНС | Фон:  | Персонаж:  | Сборка:  | Сохранить:  | Изменить:  | Нельзя: </v>
      </c>
      <c r="N153" s="36" t="str">
        <f>"N ФОТО/РЕФЕРЕНС | Фон: "&amp;N86&amp;" | Персонаж: "&amp;N100&amp;" | Сборка: "&amp;N111&amp;" | Сохранить: "&amp;N67&amp;" | Изменить: "&amp;N68&amp;" | Нельзя: "&amp;N110</f>
        <v xml:space="preserve">N ФОТО/РЕФЕРЕНС | Фон:  | Персонаж:  | Сборка:  | Сохранить:  | Изменить:  | Нельзя: </v>
      </c>
      <c r="O153" s="36" t="str">
        <f>"O ФОТО/РЕФЕРЕНС | Фон: "&amp;O86&amp;" | Персонаж: "&amp;O100&amp;" | Сборка: "&amp;O111&amp;" | Сохранить: "&amp;O67&amp;" | Изменить: "&amp;O68&amp;" | Нельзя: "&amp;O110</f>
        <v xml:space="preserve">O ФОТО/РЕФЕРЕНС | Фон:  | Персонаж:  | Сборка:  | Сохранить:  | Изменить:  | Нельзя: </v>
      </c>
      <c r="P153" s="36" t="str">
        <f>"P ФОТО/РЕФЕРЕНС | Фон: "&amp;P86&amp;" | Персонаж: "&amp;P100&amp;" | Сборка: "&amp;P111&amp;" | Сохранить: "&amp;P67&amp;" | Изменить: "&amp;P68&amp;" | Нельзя: "&amp;P110</f>
        <v xml:space="preserve">P ФОТО/РЕФЕРЕНС | Фон:  | Персонаж:  | Сборка:  | Сохранить:  | Изменить:  | Нельзя: </v>
      </c>
      <c r="Q153" s="36" t="str">
        <f>"Q ФОТО/РЕФЕРЕНС | Фон: "&amp;Q86&amp;" | Персонаж: "&amp;Q100&amp;" | Сборка: "&amp;Q111&amp;" | Сохранить: "&amp;Q67&amp;" | Изменить: "&amp;Q68&amp;" | Нельзя: "&amp;Q110</f>
        <v xml:space="preserve">Q ФОТО/РЕФЕРЕНС | Фон:  | Персонаж:  | Сборка:  | Сохранить:  | Изменить:  | Нельзя: </v>
      </c>
      <c r="R153" s="36" t="str">
        <f>"R ФОТО/РЕФЕРЕНС | Фон: "&amp;R86&amp;" | Персонаж: "&amp;R100&amp;" | Сборка: "&amp;R111&amp;" | Сохранить: "&amp;R67&amp;" | Изменить: "&amp;R68&amp;" | Нельзя: "&amp;R110</f>
        <v xml:space="preserve">R ФОТО/РЕФЕРЕНС | Фон:  | Персонаж:  | Сборка:  | Сохранить:  | Изменить:  | Нельзя: </v>
      </c>
      <c r="S153" s="36" t="str">
        <f>"S ФОТО/РЕФЕРЕНС | Фон: "&amp;S86&amp;" | Персонаж: "&amp;S100&amp;" | Сборка: "&amp;S111&amp;" | Сохранить: "&amp;S67&amp;" | Изменить: "&amp;S68&amp;" | Нельзя: "&amp;S110</f>
        <v xml:space="preserve">S ФОТО/РЕФЕРЕНС | Фон:  | Персонаж:  | Сборка:  | Сохранить:  | Изменить:  | Нельзя: </v>
      </c>
      <c r="T153" s="36" t="str">
        <f>"T ФОТО/РЕФЕРЕНС | Фон: "&amp;T86&amp;" | Персонаж: "&amp;T100&amp;" | Сборка: "&amp;T111&amp;" | Сохранить: "&amp;T67&amp;" | Изменить: "&amp;T68&amp;" | Нельзя: "&amp;T110</f>
        <v xml:space="preserve">T ФОТО/РЕФЕРЕНС | Фон:  | Персонаж:  | Сборка:  | Сохранить:  | Изменить:  | Нельзя: </v>
      </c>
      <c r="U153" s="36" t="str">
        <f>"U ФОТО/РЕФЕРЕНС | Фон: "&amp;U86&amp;" | Персонаж: "&amp;U100&amp;" | Сборка: "&amp;U111&amp;" | Сохранить: "&amp;U67&amp;" | Изменить: "&amp;U68&amp;" | Нельзя: "&amp;U110</f>
        <v xml:space="preserve">U ФОТО/РЕФЕРЕНС | Фон:  | Персонаж:  | Сборка:  | Сохранить:  | Изменить:  | Нельзя: </v>
      </c>
      <c r="V153" s="36" t="str">
        <f>"V ФОТО/РЕФЕРЕНС | Фон: "&amp;V86&amp;" | Персонаж: "&amp;V100&amp;" | Сборка: "&amp;V111&amp;" | Сохранить: "&amp;V67&amp;" | Изменить: "&amp;V68&amp;" | Нельзя: "&amp;V110</f>
        <v xml:space="preserve">V ФОТО/РЕФЕРЕНС | Фон:  | Персонаж:  | Сборка:  | Сохранить:  | Изменить:  | Нельзя: </v>
      </c>
      <c r="W153" s="36" t="str">
        <f>"W ФОТО/РЕФЕРЕНС | Фон: "&amp;W86&amp;" | Персонаж: "&amp;W100&amp;" | Сборка: "&amp;W111&amp;" | Сохранить: "&amp;W67&amp;" | Изменить: "&amp;W68&amp;" | Нельзя: "&amp;W110</f>
        <v xml:space="preserve">W ФОТО/РЕФЕРЕНС | Фон:  | Персонаж:  | Сборка:  | Сохранить:  | Изменить:  | Нельзя: </v>
      </c>
      <c r="X153" s="36" t="str">
        <f>"X ФОТО/РЕФЕРЕНС | Фон: "&amp;X86&amp;" | Персонаж: "&amp;X100&amp;" | Сборка: "&amp;X111&amp;" | Сохранить: "&amp;X67&amp;" | Изменить: "&amp;X68&amp;" | Нельзя: "&amp;X110</f>
        <v xml:space="preserve">X ФОТО/РЕФЕРЕНС | Фон:  | Персонаж:  | Сборка:  | Сохранить:  | Изменить:  | Нельзя: </v>
      </c>
      <c r="Y153" s="36" t="str">
        <f>"Y ФОТО/РЕФЕРЕНС | Фон: "&amp;Y86&amp;" | Персонаж: "&amp;Y100&amp;" | Сборка: "&amp;Y111&amp;" | Сохранить: "&amp;Y67&amp;" | Изменить: "&amp;Y68&amp;" | Нельзя: "&amp;Y110</f>
        <v xml:space="preserve">Y ФОТО/РЕФЕРЕНС | Фон:  | Персонаж:  | Сборка:  | Сохранить:  | Изменить:  | Нельзя: </v>
      </c>
      <c r="Z153" s="36" t="str">
        <f>"Z ФОТО/РЕФЕРЕНС | Фон: "&amp;Z86&amp;" | Персонаж: "&amp;Z100&amp;" | Сборка: "&amp;Z111&amp;" | Сохранить: "&amp;Z67&amp;" | Изменить: "&amp;Z68&amp;" | Нельзя: "&amp;Z110</f>
        <v xml:space="preserve">Z ФОТО/РЕФЕРЕНС | Фон:  | Персонаж:  | Сборка:  | Сохранить:  | Изменить:  | Нельзя: </v>
      </c>
      <c r="AA153" s="36" t="str">
        <f>"AA ФОТО/РЕФЕРЕНС | Фон: "&amp;AA86&amp;" | Персонаж: "&amp;AA100&amp;" | Сборка: "&amp;AA111&amp;" | Сохранить: "&amp;AA67&amp;" | Изменить: "&amp;AA68&amp;" | Нельзя: "&amp;AA110</f>
        <v xml:space="preserve">AA ФОТО/РЕФЕРЕНС | Фон:  | Персонаж:  | Сборка:  | Сохранить:  | Изменить:  | Нельзя: </v>
      </c>
      <c r="AB153" s="36" t="str">
        <f>"AB ФОТО/РЕФЕРЕНС | Фон: "&amp;AB86&amp;" | Персонаж: "&amp;AB100&amp;" | Сборка: "&amp;AB111&amp;" | Сохранить: "&amp;AB67&amp;" | Изменить: "&amp;AB68&amp;" | Нельзя: "&amp;AB110</f>
        <v xml:space="preserve">AB ФОТО/РЕФЕРЕНС | Фон:  | Персонаж:  | Сборка:  | Сохранить:  | Изменить:  | Нельзя: </v>
      </c>
      <c r="AC153" s="36" t="str">
        <f>"AC ФОТО/РЕФЕРЕНС | Фон: "&amp;AC86&amp;" | Персонаж: "&amp;AC100&amp;" | Сборка: "&amp;AC111&amp;" | Сохранить: "&amp;AC67&amp;" | Изменить: "&amp;AC68&amp;" | Нельзя: "&amp;AC110</f>
        <v xml:space="preserve">AC ФОТО/РЕФЕРЕНС | Фон:  | Персонаж:  | Сборка:  | Сохранить:  | Изменить:  | Нельзя: </v>
      </c>
      <c r="AD153" s="36" t="str">
        <f>"AD ФОТО/РЕФЕРЕНС | Фон: "&amp;AD86&amp;" | Персонаж: "&amp;AD100&amp;" | Сборка: "&amp;AD111&amp;" | Сохранить: "&amp;AD67&amp;" | Изменить: "&amp;AD68&amp;" | Нельзя: "&amp;AD110</f>
        <v xml:space="preserve">AD ФОТО/РЕФЕРЕНС | Фон:  | Персонаж:  | Сборка:  | Сохранить:  | Изменить:  | Нельзя: </v>
      </c>
      <c r="AE153" s="36" t="str">
        <f>"AE ФОТО/РЕФЕРЕНС | Фон: "&amp;AE86&amp;" | Персонаж: "&amp;AE100&amp;" | Сборка: "&amp;AE111&amp;" | Сохранить: "&amp;AE67&amp;" | Изменить: "&amp;AE68&amp;" | Нельзя: "&amp;AE110</f>
        <v xml:space="preserve">AE ФОТО/РЕФЕРЕНС | Фон:  | Персонаж:  | Сборка:  | Сохранить:  | Изменить:  | Нельзя: </v>
      </c>
      <c r="AF153" s="36" t="str">
        <f>"AF ФОТО/РЕФЕРЕНС | Фон: "&amp;AF86&amp;" | Персонаж: "&amp;AF100&amp;" | Сборка: "&amp;AF111&amp;" | Сохранить: "&amp;AF67&amp;" | Изменить: "&amp;AF68&amp;" | Нельзя: "&amp;AF110</f>
        <v xml:space="preserve">AF ФОТО/РЕФЕРЕНС | Фон:  | Персонаж:  | Сборка:  | Сохранить:  | Изменить:  | Нельзя: </v>
      </c>
      <c r="AG153" s="36" t="str">
        <f>"AG ФОТО/РЕФЕРЕНС | Фон: "&amp;AG86&amp;" | Персонаж: "&amp;AG100&amp;" | Сборка: "&amp;AG111&amp;" | Сохранить: "&amp;AG67&amp;" | Изменить: "&amp;AG68&amp;" | Нельзя: "&amp;AG110</f>
        <v xml:space="preserve">AG ФОТО/РЕФЕРЕНС | Фон:  | Персонаж:  | Сборка:  | Сохранить:  | Изменить:  | Нельзя: </v>
      </c>
      <c r="AH153" s="36" t="str">
        <f>"AH ФОТО/РЕФЕРЕНС | Фон: "&amp;AH86&amp;" | Персонаж: "&amp;AH100&amp;" | Сборка: "&amp;AH111&amp;" | Сохранить: "&amp;AH67&amp;" | Изменить: "&amp;AH68&amp;" | Нельзя: "&amp;AH110</f>
        <v xml:space="preserve">AH ФОТО/РЕФЕРЕНС | Фон:  | Персонаж:  | Сборка:  | Сохранить:  | Изменить:  | Нельзя: </v>
      </c>
      <c r="AI153" s="36" t="str">
        <f>"AI ФОТО/РЕФЕРЕНС | Фон: "&amp;AI86&amp;" | Персонаж: "&amp;AI100&amp;" | Сборка: "&amp;AI111&amp;" | Сохранить: "&amp;AI67&amp;" | Изменить: "&amp;AI68&amp;" | Нельзя: "&amp;AI110</f>
        <v xml:space="preserve">AI ФОТО/РЕФЕРЕНС | Фон:  | Персонаж:  | Сборка:  | Сохранить:  | Изменить:  | Нельзя: </v>
      </c>
      <c r="AJ153" s="36" t="str">
        <f>"AJ ФОТО/РЕФЕРЕНС | Фон: "&amp;AJ86&amp;" | Персонаж: "&amp;AJ100&amp;" | Сборка: "&amp;AJ111&amp;" | Сохранить: "&amp;AJ67&amp;" | Изменить: "&amp;AJ68&amp;" | Нельзя: "&amp;AJ110</f>
        <v xml:space="preserve">AJ ФОТО/РЕФЕРЕНС | Фон:  | Персонаж:  | Сборка:  | Сохранить:  | Изменить:  | Нельзя: </v>
      </c>
      <c r="AK153" s="36" t="str">
        <f>"AK ФОТО/РЕФЕРЕНС | Фон: "&amp;AK86&amp;" | Персонаж: "&amp;AK100&amp;" | Сборка: "&amp;AK111&amp;" | Сохранить: "&amp;AK67&amp;" | Изменить: "&amp;AK68&amp;" | Нельзя: "&amp;AK110</f>
        <v xml:space="preserve">AK ФОТО/РЕФЕРЕНС | Фон:  | Персонаж:  | Сборка:  | Сохранить:  | Изменить:  | Нельзя: </v>
      </c>
      <c r="AL153" s="36" t="str">
        <f>"AL ФОТО/РЕФЕРЕНС | Фон: "&amp;AL86&amp;" | Персонаж: "&amp;AL100&amp;" | Сборка: "&amp;AL111&amp;" | Сохранить: "&amp;AL67&amp;" | Изменить: "&amp;AL68&amp;" | Нельзя: "&amp;AL110</f>
        <v xml:space="preserve">AL ФОТО/РЕФЕРЕНС | Фон:  | Персонаж:  | Сборка:  | Сохранить:  | Изменить:  | Нельзя: </v>
      </c>
      <c r="AM153" s="36" t="str">
        <f>"AM ФОТО/РЕФЕРЕНС | Фон: "&amp;AM86&amp;" | Персонаж: "&amp;AM100&amp;" | Сборка: "&amp;AM111&amp;" | Сохранить: "&amp;AM67&amp;" | Изменить: "&amp;AM68&amp;" | Нельзя: "&amp;AM110</f>
        <v xml:space="preserve">AM ФОТО/РЕФЕРЕНС | Фон:  | Персонаж:  | Сборка:  | Сохранить:  | Изменить:  | Нельзя: </v>
      </c>
      <c r="AN153" s="36" t="str">
        <f>"AN ФОТО/РЕФЕРЕНС | Фон: "&amp;AN86&amp;" | Персонаж: "&amp;AN100&amp;" | Сборка: "&amp;AN111&amp;" | Сохранить: "&amp;AN67&amp;" | Изменить: "&amp;AN68&amp;" | Нельзя: "&amp;AN110</f>
        <v xml:space="preserve">AN ФОТО/РЕФЕРЕНС | Фон:  | Персонаж:  | Сборка:  | Сохранить:  | Изменить:  | Нельзя: </v>
      </c>
      <c r="AO153" s="36" t="str">
        <f>"AO ФОТО/РЕФЕРЕНС | Фон: "&amp;AO86&amp;" | Персонаж: "&amp;AO100&amp;" | Сборка: "&amp;AO111&amp;" | Сохранить: "&amp;AO67&amp;" | Изменить: "&amp;AO68&amp;" | Нельзя: "&amp;AO110</f>
        <v xml:space="preserve">AO ФОТО/РЕФЕРЕНС | Фон:  | Персонаж:  | Сборка:  | Сохранить:  | Изменить:  | Нельзя: </v>
      </c>
      <c r="AP153" s="36" t="str">
        <f>"AP ФОТО/РЕФЕРЕНС | Фон: "&amp;AP86&amp;" | Персонаж: "&amp;AP100&amp;" | Сборка: "&amp;AP111&amp;" | Сохранить: "&amp;AP67&amp;" | Изменить: "&amp;AP68&amp;" | Нельзя: "&amp;AP110</f>
        <v xml:space="preserve">AP ФОТО/РЕФЕРЕНС | Фон:  | Персонаж:  | Сборка:  | Сохранить:  | Изменить:  | Нельзя: </v>
      </c>
      <c r="AQ153" s="36" t="str">
        <f>"AQ ФОТО/РЕФЕРЕНС | Фон: "&amp;AQ86&amp;" | Персонаж: "&amp;AQ100&amp;" | Сборка: "&amp;AQ111&amp;" | Сохранить: "&amp;AQ67&amp;" | Изменить: "&amp;AQ68&amp;" | Нельзя: "&amp;AQ110</f>
        <v xml:space="preserve">AQ ФОТО/РЕФЕРЕНС | Фон:  | Персонаж:  | Сборка:  | Сохранить:  | Изменить:  | Нельзя: </v>
      </c>
      <c r="AR153" s="36" t="str">
        <f>"AR ФОТО/РЕФЕРЕНС | Фон: "&amp;AR86&amp;" | Персонаж: "&amp;AR100&amp;" | Сборка: "&amp;AR111&amp;" | Сохранить: "&amp;AR67&amp;" | Изменить: "&amp;AR68&amp;" | Нельзя: "&amp;AR110</f>
        <v xml:space="preserve">AR ФОТО/РЕФЕРЕНС | Фон:  | Персонаж:  | Сборка:  | Сохранить:  | Изменить:  | Нельзя: </v>
      </c>
      <c r="AS153" s="36" t="str">
        <f>"AS ФОТО/РЕФЕРЕНС | Фон: "&amp;AS86&amp;" | Персонаж: "&amp;AS100&amp;" | Сборка: "&amp;AS111&amp;" | Сохранить: "&amp;AS67&amp;" | Изменить: "&amp;AS68&amp;" | Нельзя: "&amp;AS110</f>
        <v xml:space="preserve">AS ФОТО/РЕФЕРЕНС | Фон:  | Персонаж:  | Сборка:  | Сохранить:  | Изменить:  | Нельзя: </v>
      </c>
      <c r="AT153" s="36" t="str">
        <f>"AT ФОТО/РЕФЕРЕНС | Фон: "&amp;AT86&amp;" | Персонаж: "&amp;AT100&amp;" | Сборка: "&amp;AT111&amp;" | Сохранить: "&amp;AT67&amp;" | Изменить: "&amp;AT68&amp;" | Нельзя: "&amp;AT110</f>
        <v xml:space="preserve">AT ФОТО/РЕФЕРЕНС | Фон:  | Персонаж:  | Сборка:  | Сохранить:  | Изменить:  | Нельзя: </v>
      </c>
      <c r="AU153" s="36" t="str">
        <f>"AU ФОТО/РЕФЕРЕНС | Фон: "&amp;AU86&amp;" | Персонаж: "&amp;AU100&amp;" | Сборка: "&amp;AU111&amp;" | Сохранить: "&amp;AU67&amp;" | Изменить: "&amp;AU68&amp;" | Нельзя: "&amp;AU110</f>
        <v xml:space="preserve">AU ФОТО/РЕФЕРЕНС | Фон:  | Персонаж:  | Сборка:  | Сохранить:  | Изменить:  | Нельзя: </v>
      </c>
      <c r="AV153" s="36" t="str">
        <f>"AV ФОТО/РЕФЕРЕНС | Фон: "&amp;AV86&amp;" | Персонаж: "&amp;AV100&amp;" | Сборка: "&amp;AV111&amp;" | Сохранить: "&amp;AV67&amp;" | Изменить: "&amp;AV68&amp;" | Нельзя: "&amp;AV110</f>
        <v xml:space="preserve">AV ФОТО/РЕФЕРЕНС | Фон:  | Персонаж:  | Сборка:  | Сохранить:  | Изменить:  | Нельзя: </v>
      </c>
      <c r="AW153" s="36" t="str">
        <f>"AW ФОТО/РЕФЕРЕНС | Фон: "&amp;AW86&amp;" | Персонаж: "&amp;AW100&amp;" | Сборка: "&amp;AW111&amp;" | Сохранить: "&amp;AW67&amp;" | Изменить: "&amp;AW68&amp;" | Нельзя: "&amp;AW110</f>
        <v xml:space="preserve">AW ФОТО/РЕФЕРЕНС | Фон:  | Персонаж:  | Сборка:  | Сохранить:  | Изменить:  | Нельзя: </v>
      </c>
      <c r="AX153" s="36" t="str">
        <f>"AX ФОТО/РЕФЕРЕНС | Фон: "&amp;AX86&amp;" | Персонаж: "&amp;AX100&amp;" | Сборка: "&amp;AX111&amp;" | Сохранить: "&amp;AX67&amp;" | Изменить: "&amp;AX68&amp;" | Нельзя: "&amp;AX110</f>
        <v xml:space="preserve">AX ФОТО/РЕФЕРЕНС | Фон:  | Персонаж:  | Сборка:  | Сохранить:  | Изменить:  | Нельзя: </v>
      </c>
      <c r="AY153" s="36" t="str">
        <f>"AY ФОТО/РЕФЕРЕНС | Фон: "&amp;AY86&amp;" | Персонаж: "&amp;AY100&amp;" | Сборка: "&amp;AY111&amp;" | Сохранить: "&amp;AY67&amp;" | Изменить: "&amp;AY68&amp;" | Нельзя: "&amp;AY110</f>
        <v xml:space="preserve">AY ФОТО/РЕФЕРЕНС | Фон:  | Персонаж:  | Сборка:  | Сохранить:  | Изменить:  | Нельзя: </v>
      </c>
      <c r="AZ153" s="36" t="str">
        <f>"AZ ФОТО/РЕФЕРЕНС | Фон: "&amp;AZ86&amp;" | Персонаж: "&amp;AZ100&amp;" | Сборка: "&amp;AZ111&amp;" | Сохранить: "&amp;AZ67&amp;" | Изменить: "&amp;AZ68&amp;" | Нельзя: "&amp;AZ110</f>
        <v xml:space="preserve">AZ ФОТО/РЕФЕРЕНС | Фон:  | Персонаж:  | Сборка:  | Сохранить:  | Изменить:  | Нельзя: </v>
      </c>
      <c r="BA153" s="36" t="str">
        <f>"BA ФОТО/РЕФЕРЕНС | Фон: "&amp;BA86&amp;" | Персонаж: "&amp;BA100&amp;" | Сборка: "&amp;BA111&amp;" | Сохранить: "&amp;BA67&amp;" | Изменить: "&amp;BA68&amp;" | Нельзя: "&amp;BA110</f>
        <v xml:space="preserve">BA ФОТО/РЕФЕРЕНС | Фон:  | Персонаж:  | Сборка:  | Сохранить:  | Изменить:  | Нельзя: </v>
      </c>
      <c r="BB153" s="36" t="str">
        <f>"BB ФОТО/РЕФЕРЕНС | Фон: "&amp;BB86&amp;" | Персонаж: "&amp;BB100&amp;" | Сборка: "&amp;BB111&amp;" | Сохранить: "&amp;BB67&amp;" | Изменить: "&amp;BB68&amp;" | Нельзя: "&amp;BB110</f>
        <v xml:space="preserve">BB ФОТО/РЕФЕРЕНС | Фон:  | Персонаж:  | Сборка:  | Сохранить:  | Изменить:  | Нельзя: </v>
      </c>
      <c r="BC153" s="36" t="str">
        <f>"BC ФОТО/РЕФЕРЕНС | Фон: "&amp;BC86&amp;" | Персонаж: "&amp;BC100&amp;" | Сборка: "&amp;BC111&amp;" | Сохранить: "&amp;BC67&amp;" | Изменить: "&amp;BC68&amp;" | Нельзя: "&amp;BC110</f>
        <v xml:space="preserve">BC ФОТО/РЕФЕРЕНС | Фон:  | Персонаж:  | Сборка:  | Сохранить:  | Изменить:  | Нельзя: </v>
      </c>
      <c r="BD153" s="36" t="str">
        <f>"BD ФОТО/РЕФЕРЕНС | Фон: "&amp;BD86&amp;" | Персонаж: "&amp;BD100&amp;" | Сборка: "&amp;BD111&amp;" | Сохранить: "&amp;BD67&amp;" | Изменить: "&amp;BD68&amp;" | Нельзя: "&amp;BD110</f>
        <v xml:space="preserve">BD ФОТО/РЕФЕРЕНС | Фон:  | Персонаж:  | Сборка:  | Сохранить:  | Изменить:  | Нельзя: </v>
      </c>
      <c r="BE153" s="36" t="str">
        <f>"BE ФОТО/РЕФЕРЕНС | Фон: "&amp;BE86&amp;" | Персонаж: "&amp;BE100&amp;" | Сборка: "&amp;BE111&amp;" | Сохранить: "&amp;BE67&amp;" | Изменить: "&amp;BE68&amp;" | Нельзя: "&amp;BE110</f>
        <v xml:space="preserve">BE ФОТО/РЕФЕРЕНС | Фон:  | Персонаж:  | Сборка:  | Сохранить:  | Изменить:  | Нельзя: </v>
      </c>
      <c r="BF153" s="36" t="str">
        <f>"BF ФОТО/РЕФЕРЕНС | Фон: "&amp;BF86&amp;" | Персонаж: "&amp;BF100&amp;" | Сборка: "&amp;BF111&amp;" | Сохранить: "&amp;BF67&amp;" | Изменить: "&amp;BF68&amp;" | Нельзя: "&amp;BF110</f>
        <v xml:space="preserve">BF ФОТО/РЕФЕРЕНС | Фон:  | Персонаж:  | Сборка:  | Сохранить:  | Изменить:  | Нельзя: </v>
      </c>
      <c r="BG153" s="36" t="str">
        <f>"BG ФОТО/РЕФЕРЕНС | Фон: "&amp;BG86&amp;" | Персонаж: "&amp;BG100&amp;" | Сборка: "&amp;BG111&amp;" | Сохранить: "&amp;BG67&amp;" | Изменить: "&amp;BG68&amp;" | Нельзя: "&amp;BG110</f>
        <v xml:space="preserve">BG ФОТО/РЕФЕРЕНС | Фон:  | Персонаж:  | Сборка:  | Сохранить:  | Изменить:  | Нельзя: </v>
      </c>
      <c r="BH153" s="36" t="str">
        <f>"BH ФОТО/РЕФЕРЕНС | Фон: "&amp;BH86&amp;" | Персонаж: "&amp;BH100&amp;" | Сборка: "&amp;BH111&amp;" | Сохранить: "&amp;BH67&amp;" | Изменить: "&amp;BH68&amp;" | Нельзя: "&amp;BH110</f>
        <v xml:space="preserve">BH ФОТО/РЕФЕРЕНС | Фон:  | Персонаж:  | Сборка:  | Сохранить:  | Изменить:  | Нельзя: </v>
      </c>
      <c r="BI153" s="36" t="str">
        <f>"BI ФОТО/РЕФЕРЕНС | Фон: "&amp;BI86&amp;" | Персонаж: "&amp;BI100&amp;" | Сборка: "&amp;BI111&amp;" | Сохранить: "&amp;BI67&amp;" | Изменить: "&amp;BI68&amp;" | Нельзя: "&amp;BI110</f>
        <v xml:space="preserve">BI ФОТО/РЕФЕРЕНС | Фон:  | Персонаж:  | Сборка:  | Сохранить:  | Изменить:  | Нельзя: </v>
      </c>
      <c r="BJ153" s="36" t="str">
        <f>"BJ ФОТО/РЕФЕРЕНС | Фон: "&amp;BJ86&amp;" | Персонаж: "&amp;BJ100&amp;" | Сборка: "&amp;BJ111&amp;" | Сохранить: "&amp;BJ67&amp;" | Изменить: "&amp;BJ68&amp;" | Нельзя: "&amp;BJ110</f>
        <v xml:space="preserve">BJ ФОТО/РЕФЕРЕНС | Фон:  | Персонаж:  | Сборка:  | Сохранить:  | Изменить:  | Нельзя: </v>
      </c>
      <c r="BK153" s="36" t="str">
        <f>"BK ФОТО/РЕФЕРЕНС | Фон: "&amp;BK86&amp;" | Персонаж: "&amp;BK100&amp;" | Сборка: "&amp;BK111&amp;" | Сохранить: "&amp;BK67&amp;" | Изменить: "&amp;BK68&amp;" | Нельзя: "&amp;BK110</f>
        <v xml:space="preserve">BK ФОТО/РЕФЕРЕНС | Фон:  | Персонаж:  | Сборка:  | Сохранить:  | Изменить:  | Нельзя: </v>
      </c>
      <c r="BL153" s="36" t="str">
        <f>"BL ФОТО/РЕФЕРЕНС | Фон: "&amp;BL86&amp;" | Персонаж: "&amp;BL100&amp;" | Сборка: "&amp;BL111&amp;" | Сохранить: "&amp;BL67&amp;" | Изменить: "&amp;BL68&amp;" | Нельзя: "&amp;BL110</f>
        <v xml:space="preserve">BL ФОТО/РЕФЕРЕНС | Фон:  | Персонаж:  | Сборка:  | Сохранить:  | Изменить:  | Нельзя: </v>
      </c>
      <c r="BM153" s="36" t="str">
        <f>"BM ФОТО/РЕФЕРЕНС | Фон: "&amp;BM86&amp;" | Персонаж: "&amp;BM100&amp;" | Сборка: "&amp;BM111&amp;" | Сохранить: "&amp;BM67&amp;" | Изменить: "&amp;BM68&amp;" | Нельзя: "&amp;BM110</f>
        <v xml:space="preserve">BM ФОТО/РЕФЕРЕНС | Фон:  | Персонаж:  | Сборка:  | Сохранить:  | Изменить:  | Нельзя: </v>
      </c>
      <c r="BN153" s="36" t="str">
        <f>"BN ФОТО/РЕФЕРЕНС | Фон: "&amp;BN86&amp;" | Персонаж: "&amp;BN100&amp;" | Сборка: "&amp;BN111&amp;" | Сохранить: "&amp;BN67&amp;" | Изменить: "&amp;BN68&amp;" | Нельзя: "&amp;BN110</f>
        <v xml:space="preserve">BN ФОТО/РЕФЕРЕНС | Фон:  | Персонаж:  | Сборка:  | Сохранить:  | Изменить:  | Нельзя: </v>
      </c>
      <c r="BO153" s="36" t="str">
        <f>"BO ФОТО/РЕФЕРЕНС | Фон: "&amp;BO86&amp;" | Персонаж: "&amp;BO100&amp;" | Сборка: "&amp;BO111&amp;" | Сохранить: "&amp;BO67&amp;" | Изменить: "&amp;BO68&amp;" | Нельзя: "&amp;BO110</f>
        <v xml:space="preserve">BO ФОТО/РЕФЕРЕНС | Фон:  | Персонаж:  | Сборка:  | Сохранить:  | Изменить:  | Нельзя: </v>
      </c>
      <c r="BP153" s="36" t="str">
        <f>"BP ФОТО/РЕФЕРЕНС | Фон: "&amp;BP86&amp;" | Персонаж: "&amp;BP100&amp;" | Сборка: "&amp;BP111&amp;" | Сохранить: "&amp;BP67&amp;" | Изменить: "&amp;BP68&amp;" | Нельзя: "&amp;BP110</f>
        <v xml:space="preserve">BP ФОТО/РЕФЕРЕНС | Фон:  | Персонаж:  | Сборка:  | Сохранить:  | Изменить:  | Нельзя: </v>
      </c>
      <c r="BQ153" s="36" t="str">
        <f>"BQ ФОТО/РЕФЕРЕНС | Фон: "&amp;BQ86&amp;" | Персонаж: "&amp;BQ100&amp;" | Сборка: "&amp;BQ111&amp;" | Сохранить: "&amp;BQ67&amp;" | Изменить: "&amp;BQ68&amp;" | Нельзя: "&amp;BQ110</f>
        <v xml:space="preserve">BQ ФОТО/РЕФЕРЕНС | Фон:  | Персонаж:  | Сборка:  | Сохранить:  | Изменить:  | Нельзя: </v>
      </c>
      <c r="BR153" s="36" t="str">
        <f>"BR ФОТО/РЕФЕРЕНС | Фон: "&amp;BR86&amp;" | Персонаж: "&amp;BR100&amp;" | Сборка: "&amp;BR111&amp;" | Сохранить: "&amp;BR67&amp;" | Изменить: "&amp;BR68&amp;" | Нельзя: "&amp;BR110</f>
        <v xml:space="preserve">BR ФОТО/РЕФЕРЕНС | Фон:  | Персонаж:  | Сборка:  | Сохранить:  | Изменить:  | Нельзя: </v>
      </c>
      <c r="BS153" s="36" t="str">
        <f>"BS ФОТО/РЕФЕРЕНС | Фон: "&amp;BS86&amp;" | Персонаж: "&amp;BS100&amp;" | Сборка: "&amp;BS111&amp;" | Сохранить: "&amp;BS67&amp;" | Изменить: "&amp;BS68&amp;" | Нельзя: "&amp;BS110</f>
        <v xml:space="preserve">BS ФОТО/РЕФЕРЕНС | Фон:  | Персонаж:  | Сборка:  | Сохранить:  | Изменить:  | Нельзя: </v>
      </c>
      <c r="BT153" s="36" t="str">
        <f>"BT ФОТО/РЕФЕРЕНС | Фон: "&amp;BT86&amp;" | Персонаж: "&amp;BT100&amp;" | Сборка: "&amp;BT111&amp;" | Сохранить: "&amp;BT67&amp;" | Изменить: "&amp;BT68&amp;" | Нельзя: "&amp;BT110</f>
        <v xml:space="preserve">BT ФОТО/РЕФЕРЕНС | Фон:  | Персонаж:  | Сборка:  | Сохранить:  | Изменить:  | Нельзя: </v>
      </c>
      <c r="BU153" s="36" t="str">
        <f>"BU ФОТО/РЕФЕРЕНС | Фон: "&amp;BU86&amp;" | Персонаж: "&amp;BU100&amp;" | Сборка: "&amp;BU111&amp;" | Сохранить: "&amp;BU67&amp;" | Изменить: "&amp;BU68&amp;" | Нельзя: "&amp;BU110</f>
        <v xml:space="preserve">BU ФОТО/РЕФЕРЕНС | Фон:  | Персонаж:  | Сборка:  | Сохранить:  | Изменить:  | Нельзя: </v>
      </c>
      <c r="BV153" s="36" t="str">
        <f>"BV ФОТО/РЕФЕРЕНС | Фон: "&amp;BV86&amp;" | Персонаж: "&amp;BV100&amp;" | Сборка: "&amp;BV111&amp;" | Сохранить: "&amp;BV67&amp;" | Изменить: "&amp;BV68&amp;" | Нельзя: "&amp;BV110</f>
        <v xml:space="preserve">BV ФОТО/РЕФЕРЕНС | Фон:  | Персонаж:  | Сборка:  | Сохранить:  | Изменить:  | Нельзя: </v>
      </c>
      <c r="BW153" s="36" t="str">
        <f>"BW ФОТО/РЕФЕРЕНС | Фон: "&amp;BW86&amp;" | Персонаж: "&amp;BW100&amp;" | Сборка: "&amp;BW111&amp;" | Сохранить: "&amp;BW67&amp;" | Изменить: "&amp;BW68&amp;" | Нельзя: "&amp;BW110</f>
        <v xml:space="preserve">BW ФОТО/РЕФЕРЕНС | Фон:  | Персонаж:  | Сборка:  | Сохранить:  | Изменить:  | Нельзя: </v>
      </c>
      <c r="BX153" s="36" t="str">
        <f>"BX ФОТО/РЕФЕРЕНС | Фон: "&amp;BX86&amp;" | Персонаж: "&amp;BX100&amp;" | Сборка: "&amp;BX111&amp;" | Сохранить: "&amp;BX67&amp;" | Изменить: "&amp;BX68&amp;" | Нельзя: "&amp;BX110</f>
        <v xml:space="preserve">BX ФОТО/РЕФЕРЕНС | Фон:  | Персонаж:  | Сборка:  | Сохранить:  | Изменить:  | Нельзя: </v>
      </c>
      <c r="BY153" s="36" t="str">
        <f>"BY ФОТО/РЕФЕРЕНС | Фон: "&amp;BY86&amp;" | Персонаж: "&amp;BY100&amp;" | Сборка: "&amp;BY111&amp;" | Сохранить: "&amp;BY67&amp;" | Изменить: "&amp;BY68&amp;" | Нельзя: "&amp;BY110</f>
        <v xml:space="preserve">BY ФОТО/РЕФЕРЕНС | Фон:  | Персонаж:  | Сборка:  | Сохранить:  | Изменить:  | Нельзя: </v>
      </c>
      <c r="BZ153" s="36" t="str">
        <f>"BZ ФОТО/РЕФЕРЕНС | Фон: "&amp;BZ86&amp;" | Персонаж: "&amp;BZ100&amp;" | Сборка: "&amp;BZ111&amp;" | Сохранить: "&amp;BZ67&amp;" | Изменить: "&amp;BZ68&amp;" | Нельзя: "&amp;BZ110</f>
        <v xml:space="preserve">BZ ФОТО/РЕФЕРЕНС | Фон:  | Персонаж:  | Сборка:  | Сохранить:  | Изменить:  | Нельзя: </v>
      </c>
      <c r="CA153" s="36" t="str">
        <f>"CA ФОТО/РЕФЕРЕНС | Фон: "&amp;CA86&amp;" | Персонаж: "&amp;CA100&amp;" | Сборка: "&amp;CA111&amp;" | Сохранить: "&amp;CA67&amp;" | Изменить: "&amp;CA68&amp;" | Нельзя: "&amp;CA110</f>
        <v xml:space="preserve">CA ФОТО/РЕФЕРЕНС | Фон:  | Персонаж:  | Сборка:  | Сохранить:  | Изменить:  | Нельзя: </v>
      </c>
      <c r="CB153" s="36" t="str">
        <f>"CB ФОТО/РЕФЕРЕНС | Фон: "&amp;CB86&amp;" | Персонаж: "&amp;CB100&amp;" | Сборка: "&amp;CB111&amp;" | Сохранить: "&amp;CB67&amp;" | Изменить: "&amp;CB68&amp;" | Нельзя: "&amp;CB110</f>
        <v xml:space="preserve">CB ФОТО/РЕФЕРЕНС | Фон:  | Персонаж:  | Сборка:  | Сохранить:  | Изменить:  | Нельзя: </v>
      </c>
      <c r="CC153" s="36" t="str">
        <f>"CC ФОТО/РЕФЕРЕНС | Фон: "&amp;CC86&amp;" | Персонаж: "&amp;CC100&amp;" | Сборка: "&amp;CC111&amp;" | Сохранить: "&amp;CC67&amp;" | Изменить: "&amp;CC68&amp;" | Нельзя: "&amp;CC110</f>
        <v xml:space="preserve">CC ФОТО/РЕФЕРЕНС | Фон:  | Персонаж:  | Сборка:  | Сохранить:  | Изменить:  | Нельзя: </v>
      </c>
      <c r="CD153" s="36" t="str">
        <f>"CD ФОТО/РЕФЕРЕНС | Фон: "&amp;CD86&amp;" | Персонаж: "&amp;CD100&amp;" | Сборка: "&amp;CD111&amp;" | Сохранить: "&amp;CD67&amp;" | Изменить: "&amp;CD68&amp;" | Нельзя: "&amp;CD110</f>
        <v xml:space="preserve">CD ФОТО/РЕФЕРЕНС | Фон:  | Персонаж:  | Сборка:  | Сохранить:  | Изменить:  | Нельзя: </v>
      </c>
      <c r="CE153" s="36" t="str">
        <f>"CE ФОТО/РЕФЕРЕНС | Фон: "&amp;CE86&amp;" | Персонаж: "&amp;CE100&amp;" | Сборка: "&amp;CE111&amp;" | Сохранить: "&amp;CE67&amp;" | Изменить: "&amp;CE68&amp;" | Нельзя: "&amp;CE110</f>
        <v xml:space="preserve">CE ФОТО/РЕФЕРЕНС | Фон:  | Персонаж:  | Сборка:  | Сохранить:  | Изменить:  | Нельзя: </v>
      </c>
      <c r="CF153" s="36" t="str">
        <f>"CF ФОТО/РЕФЕРЕНС | Фон: "&amp;CF86&amp;" | Персонаж: "&amp;CF100&amp;" | Сборка: "&amp;CF111&amp;" | Сохранить: "&amp;CF67&amp;" | Изменить: "&amp;CF68&amp;" | Нельзя: "&amp;CF110</f>
        <v xml:space="preserve">CF ФОТО/РЕФЕРЕНС | Фон:  | Персонаж:  | Сборка:  | Сохранить:  | Изменить:  | Нельзя: </v>
      </c>
      <c r="CG153" s="36" t="str">
        <f>"CG ФОТО/РЕФЕРЕНС | Фон: "&amp;CG86&amp;" | Персонаж: "&amp;CG100&amp;" | Сборка: "&amp;CG111&amp;" | Сохранить: "&amp;CG67&amp;" | Изменить: "&amp;CG68&amp;" | Нельзя: "&amp;CG110</f>
        <v xml:space="preserve">CG ФОТО/РЕФЕРЕНС | Фон:  | Персонаж:  | Сборка:  | Сохранить:  | Изменить:  | Нельзя: </v>
      </c>
      <c r="CH153" s="36" t="str">
        <f>"CH ФОТО/РЕФЕРЕНС | Фон: "&amp;CH86&amp;" | Персонаж: "&amp;CH100&amp;" | Сборка: "&amp;CH111&amp;" | Сохранить: "&amp;CH67&amp;" | Изменить: "&amp;CH68&amp;" | Нельзя: "&amp;CH110</f>
        <v xml:space="preserve">CH ФОТО/РЕФЕРЕНС | Фон:  | Персонаж:  | Сборка:  | Сохранить:  | Изменить:  | Нельзя: </v>
      </c>
      <c r="CI153" s="36" t="str">
        <f>"CI ФОТО/РЕФЕРЕНС | Фон: "&amp;CI86&amp;" | Персонаж: "&amp;CI100&amp;" | Сборка: "&amp;CI111&amp;" | Сохранить: "&amp;CI67&amp;" | Изменить: "&amp;CI68&amp;" | Нельзя: "&amp;CI110</f>
        <v xml:space="preserve">CI ФОТО/РЕФЕРЕНС | Фон:  | Персонаж:  | Сборка:  | Сохранить:  | Изменить:  | Нельзя: </v>
      </c>
      <c r="CJ153" s="36" t="str">
        <f>"CJ ФОТО/РЕФЕРЕНС | Фон: "&amp;CJ86&amp;" | Персонаж: "&amp;CJ100&amp;" | Сборка: "&amp;CJ111&amp;" | Сохранить: "&amp;CJ67&amp;" | Изменить: "&amp;CJ68&amp;" | Нельзя: "&amp;CJ110</f>
        <v xml:space="preserve">CJ ФОТО/РЕФЕРЕНС | Фон:  | Персонаж:  | Сборка:  | Сохранить:  | Изменить:  | Нельзя: </v>
      </c>
      <c r="CK153" s="36" t="str">
        <f>"CK ФОТО/РЕФЕРЕНС | Фон: "&amp;CK86&amp;" | Персонаж: "&amp;CK100&amp;" | Сборка: "&amp;CK111&amp;" | Сохранить: "&amp;CK67&amp;" | Изменить: "&amp;CK68&amp;" | Нельзя: "&amp;CK110</f>
        <v xml:space="preserve">CK ФОТО/РЕФЕРЕНС | Фон:  | Персонаж:  | Сборка:  | Сохранить:  | Изменить:  | Нельзя: </v>
      </c>
      <c r="CL153" s="36" t="str">
        <f>"CL ФОТО/РЕФЕРЕНС | Фон: "&amp;CL86&amp;" | Персонаж: "&amp;CL100&amp;" | Сборка: "&amp;CL111&amp;" | Сохранить: "&amp;CL67&amp;" | Изменить: "&amp;CL68&amp;" | Нельзя: "&amp;CL110</f>
        <v xml:space="preserve">CL ФОТО/РЕФЕРЕНС | Фон:  | Персонаж:  | Сборка:  | Сохранить:  | Изменить:  | Нельзя: </v>
      </c>
      <c r="CM153" s="36" t="str">
        <f>"CM ФОТО/РЕФЕРЕНС | Фон: "&amp;CM86&amp;" | Персонаж: "&amp;CM100&amp;" | Сборка: "&amp;CM111&amp;" | Сохранить: "&amp;CM67&amp;" | Изменить: "&amp;CM68&amp;" | Нельзя: "&amp;CM110</f>
        <v xml:space="preserve">CM ФОТО/РЕФЕРЕНС | Фон:  | Персонаж:  | Сборка:  | Сохранить:  | Изменить:  | Нельзя: </v>
      </c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</row>
    <row r="154" spans="1:112" s="27" customFormat="1" ht="69.95" customHeight="1" x14ac:dyDescent="0.2">
      <c r="A154" s="34"/>
      <c r="B154" s="34"/>
      <c r="C154" s="45"/>
      <c r="D154" s="36" t="str">
        <f>"D ВИДЕО | Задача: "&amp;D114&amp;" | Действие: "&amp;D118&amp;" | Камера: "&amp;D126&amp;" | Анимация: "&amp;D133&amp;" | Тайминг: "&amp;D137&amp;" | Переход: "&amp;D120&amp;" -&gt; "&amp;D121&amp;" | Сохранить: "&amp;D138&amp;" | Нельзя: "&amp;D139</f>
        <v xml:space="preserve">D ВИДЕО | Задача:  | Действие:  | Камера:  | Анимация:  | Тайминг:  | Переход:  -&gt;  | Сохранить:  | Нельзя: </v>
      </c>
      <c r="E154" s="36" t="str">
        <f>"E ВИДЕО | Задача: "&amp;E114&amp;" | Действие: "&amp;E118&amp;" | Камера: "&amp;E126&amp;" | Анимация: "&amp;E133&amp;" | Тайминг: "&amp;E137&amp;" | Переход: "&amp;E120&amp;" -&gt; "&amp;E121&amp;" | Сохранить: "&amp;E138&amp;" | Нельзя: "&amp;E139</f>
        <v xml:space="preserve">E ВИДЕО | Задача:  | Действие:  | Камера:  | Анимация:  | Тайминг:  | Переход:  -&gt;  | Сохранить:  | Нельзя: </v>
      </c>
      <c r="F154" s="36" t="str">
        <f>"F ВИДЕО | Задача: "&amp;F114&amp;" | Действие: "&amp;F118&amp;" | Камера: "&amp;F126&amp;" | Анимация: "&amp;F133&amp;" | Тайминг: "&amp;F137&amp;" | Переход: "&amp;F120&amp;" -&gt; "&amp;F121&amp;" | Сохранить: "&amp;F138&amp;" | Нельзя: "&amp;F139</f>
        <v xml:space="preserve">F ВИДЕО | Задача:  | Действие:  | Камера:  | Анимация:  | Тайминг:  | Переход:  -&gt;  | Сохранить:  | Нельзя: </v>
      </c>
      <c r="G154" s="36" t="str">
        <f>"G ВИДЕО | Задача: "&amp;G114&amp;" | Действие: "&amp;G118&amp;" | Камера: "&amp;G126&amp;" | Анимация: "&amp;G133&amp;" | Тайминг: "&amp;G137&amp;" | Переход: "&amp;G120&amp;" -&gt; "&amp;G121&amp;" | Сохранить: "&amp;G138&amp;" | Нельзя: "&amp;G139</f>
        <v xml:space="preserve">G ВИДЕО | Задача:  | Действие:  | Камера:  | Анимация:  | Тайминг:  | Переход:  -&gt;  | Сохранить:  | Нельзя: </v>
      </c>
      <c r="H154" s="36" t="str">
        <f>"H ВИДЕО | Задача: "&amp;H114&amp;" | Действие: "&amp;H118&amp;" | Камера: "&amp;H126&amp;" | Анимация: "&amp;H133&amp;" | Тайминг: "&amp;H137&amp;" | Переход: "&amp;H120&amp;" -&gt; "&amp;H121&amp;" | Сохранить: "&amp;H138&amp;" | Нельзя: "&amp;H139</f>
        <v xml:space="preserve">H ВИДЕО | Задача:  | Действие:  | Камера:  | Анимация:  | Тайминг:  | Переход:  -&gt;  | Сохранить:  | Нельзя: </v>
      </c>
      <c r="I154" s="36" t="str">
        <f>"I ВИДЕО | Задача: "&amp;I114&amp;" | Действие: "&amp;I118&amp;" | Камера: "&amp;I126&amp;" | Анимация: "&amp;I133&amp;" | Тайминг: "&amp;I137&amp;" | Переход: "&amp;I120&amp;" -&gt; "&amp;I121&amp;" | Сохранить: "&amp;I138&amp;" | Нельзя: "&amp;I139</f>
        <v xml:space="preserve">I ВИДЕО | Задача:  | Действие:  | Камера:  | Анимация:  | Тайминг:  | Переход:  -&gt;  | Сохранить:  | Нельзя: </v>
      </c>
      <c r="J154" s="36" t="str">
        <f>"J ВИДЕО | Задача: "&amp;J114&amp;" | Действие: "&amp;J118&amp;" | Камера: "&amp;J126&amp;" | Анимация: "&amp;J133&amp;" | Тайминг: "&amp;J137&amp;" | Переход: "&amp;J120&amp;" -&gt; "&amp;J121&amp;" | Сохранить: "&amp;J138&amp;" | Нельзя: "&amp;J139</f>
        <v xml:space="preserve">J ВИДЕО | Задача:  | Действие:  | Камера:  | Анимация:  | Тайминг:  | Переход:  -&gt;  | Сохранить:  | Нельзя: </v>
      </c>
      <c r="K154" s="36" t="str">
        <f>"K ВИДЕО | Задача: "&amp;K114&amp;" | Действие: "&amp;K118&amp;" | Камера: "&amp;K126&amp;" | Анимация: "&amp;K133&amp;" | Тайминг: "&amp;K137&amp;" | Переход: "&amp;K120&amp;" -&gt; "&amp;K121&amp;" | Сохранить: "&amp;K138&amp;" | Нельзя: "&amp;K139</f>
        <v xml:space="preserve">K ВИДЕО | Задача:  | Действие:  | Камера:  | Анимация:  | Тайминг:  | Переход:  -&gt;  | Сохранить:  | Нельзя: </v>
      </c>
      <c r="L154" s="36" t="str">
        <f>"L ВИДЕО | Задача: "&amp;L114&amp;" | Действие: "&amp;L118&amp;" | Камера: "&amp;L126&amp;" | Анимация: "&amp;L133&amp;" | Тайминг: "&amp;L137&amp;" | Переход: "&amp;L120&amp;" -&gt; "&amp;L121&amp;" | Сохранить: "&amp;L138&amp;" | Нельзя: "&amp;L139</f>
        <v xml:space="preserve">L ВИДЕО | Задача:  | Действие:  | Камера:  | Анимация:  | Тайминг:  | Переход:  -&gt;  | Сохранить:  | Нельзя: </v>
      </c>
      <c r="M154" s="36" t="str">
        <f>"M ВИДЕО | Задача: "&amp;M114&amp;" | Действие: "&amp;M118&amp;" | Камера: "&amp;M126&amp;" | Анимация: "&amp;M133&amp;" | Тайминг: "&amp;M137&amp;" | Переход: "&amp;M120&amp;" -&gt; "&amp;M121&amp;" | Сохранить: "&amp;M138&amp;" | Нельзя: "&amp;M139</f>
        <v xml:space="preserve">M ВИДЕО | Задача:  | Действие:  | Камера:  | Анимация:  | Тайминг:  | Переход:  -&gt;  | Сохранить:  | Нельзя: </v>
      </c>
      <c r="N154" s="36" t="str">
        <f>"N ВИДЕО | Задача: "&amp;N114&amp;" | Действие: "&amp;N118&amp;" | Камера: "&amp;N126&amp;" | Анимация: "&amp;N133&amp;" | Тайминг: "&amp;N137&amp;" | Переход: "&amp;N120&amp;" -&gt; "&amp;N121&amp;" | Сохранить: "&amp;N138&amp;" | Нельзя: "&amp;N139</f>
        <v xml:space="preserve">N ВИДЕО | Задача:  | Действие:  | Камера:  | Анимация:  | Тайминг:  | Переход:  -&gt;  | Сохранить:  | Нельзя: </v>
      </c>
      <c r="O154" s="36" t="str">
        <f>"O ВИДЕО | Задача: "&amp;O114&amp;" | Действие: "&amp;O118&amp;" | Камера: "&amp;O126&amp;" | Анимация: "&amp;O133&amp;" | Тайминг: "&amp;O137&amp;" | Переход: "&amp;O120&amp;" -&gt; "&amp;O121&amp;" | Сохранить: "&amp;O138&amp;" | Нельзя: "&amp;O139</f>
        <v xml:space="preserve">O ВИДЕО | Задача:  | Действие:  | Камера:  | Анимация:  | Тайминг:  | Переход:  -&gt;  | Сохранить:  | Нельзя: </v>
      </c>
      <c r="P154" s="36" t="str">
        <f>"P ВИДЕО | Задача: "&amp;P114&amp;" | Действие: "&amp;P118&amp;" | Камера: "&amp;P126&amp;" | Анимация: "&amp;P133&amp;" | Тайминг: "&amp;P137&amp;" | Переход: "&amp;P120&amp;" -&gt; "&amp;P121&amp;" | Сохранить: "&amp;P138&amp;" | Нельзя: "&amp;P139</f>
        <v xml:space="preserve">P ВИДЕО | Задача:  | Действие:  | Камера:  | Анимация:  | Тайминг:  | Переход:  -&gt;  | Сохранить:  | Нельзя: </v>
      </c>
      <c r="Q154" s="36" t="str">
        <f>"Q ВИДЕО | Задача: "&amp;Q114&amp;" | Действие: "&amp;Q118&amp;" | Камера: "&amp;Q126&amp;" | Анимация: "&amp;Q133&amp;" | Тайминг: "&amp;Q137&amp;" | Переход: "&amp;Q120&amp;" -&gt; "&amp;Q121&amp;" | Сохранить: "&amp;Q138&amp;" | Нельзя: "&amp;Q139</f>
        <v xml:space="preserve">Q ВИДЕО | Задача:  | Действие:  | Камера:  | Анимация:  | Тайминг:  | Переход:  -&gt;  | Сохранить:  | Нельзя: </v>
      </c>
      <c r="R154" s="36" t="str">
        <f>"R ВИДЕО | Задача: "&amp;R114&amp;" | Действие: "&amp;R118&amp;" | Камера: "&amp;R126&amp;" | Анимация: "&amp;R133&amp;" | Тайминг: "&amp;R137&amp;" | Переход: "&amp;R120&amp;" -&gt; "&amp;R121&amp;" | Сохранить: "&amp;R138&amp;" | Нельзя: "&amp;R139</f>
        <v xml:space="preserve">R ВИДЕО | Задача:  | Действие:  | Камера:  | Анимация:  | Тайминг:  | Переход:  -&gt;  | Сохранить:  | Нельзя: </v>
      </c>
      <c r="S154" s="36" t="str">
        <f>"S ВИДЕО | Задача: "&amp;S114&amp;" | Действие: "&amp;S118&amp;" | Камера: "&amp;S126&amp;" | Анимация: "&amp;S133&amp;" | Тайминг: "&amp;S137&amp;" | Переход: "&amp;S120&amp;" -&gt; "&amp;S121&amp;" | Сохранить: "&amp;S138&amp;" | Нельзя: "&amp;S139</f>
        <v xml:space="preserve">S ВИДЕО | Задача:  | Действие:  | Камера:  | Анимация:  | Тайминг:  | Переход:  -&gt;  | Сохранить:  | Нельзя: </v>
      </c>
      <c r="T154" s="36" t="str">
        <f>"T ВИДЕО | Задача: "&amp;T114&amp;" | Действие: "&amp;T118&amp;" | Камера: "&amp;T126&amp;" | Анимация: "&amp;T133&amp;" | Тайминг: "&amp;T137&amp;" | Переход: "&amp;T120&amp;" -&gt; "&amp;T121&amp;" | Сохранить: "&amp;T138&amp;" | Нельзя: "&amp;T139</f>
        <v xml:space="preserve">T ВИДЕО | Задача:  | Действие:  | Камера:  | Анимация:  | Тайминг:  | Переход:  -&gt;  | Сохранить:  | Нельзя: </v>
      </c>
      <c r="U154" s="36" t="str">
        <f>"U ВИДЕО | Задача: "&amp;U114&amp;" | Действие: "&amp;U118&amp;" | Камера: "&amp;U126&amp;" | Анимация: "&amp;U133&amp;" | Тайминг: "&amp;U137&amp;" | Переход: "&amp;U120&amp;" -&gt; "&amp;U121&amp;" | Сохранить: "&amp;U138&amp;" | Нельзя: "&amp;U139</f>
        <v xml:space="preserve">U ВИДЕО | Задача:  | Действие:  | Камера:  | Анимация:  | Тайминг:  | Переход:  -&gt;  | Сохранить:  | Нельзя: </v>
      </c>
      <c r="V154" s="36" t="str">
        <f>"V ВИДЕО | Задача: "&amp;V114&amp;" | Действие: "&amp;V118&amp;" | Камера: "&amp;V126&amp;" | Анимация: "&amp;V133&amp;" | Тайминг: "&amp;V137&amp;" | Переход: "&amp;V120&amp;" -&gt; "&amp;V121&amp;" | Сохранить: "&amp;V138&amp;" | Нельзя: "&amp;V139</f>
        <v xml:space="preserve">V ВИДЕО | Задача:  | Действие:  | Камера:  | Анимация:  | Тайминг:  | Переход:  -&gt;  | Сохранить:  | Нельзя: </v>
      </c>
      <c r="W154" s="36" t="str">
        <f>"W ВИДЕО | Задача: "&amp;W114&amp;" | Действие: "&amp;W118&amp;" | Камера: "&amp;W126&amp;" | Анимация: "&amp;W133&amp;" | Тайминг: "&amp;W137&amp;" | Переход: "&amp;W120&amp;" -&gt; "&amp;W121&amp;" | Сохранить: "&amp;W138&amp;" | Нельзя: "&amp;W139</f>
        <v xml:space="preserve">W ВИДЕО | Задача:  | Действие:  | Камера:  | Анимация:  | Тайминг:  | Переход:  -&gt;  | Сохранить:  | Нельзя: </v>
      </c>
      <c r="X154" s="36" t="str">
        <f>"X ВИДЕО | Задача: "&amp;X114&amp;" | Действие: "&amp;X118&amp;" | Камера: "&amp;X126&amp;" | Анимация: "&amp;X133&amp;" | Тайминг: "&amp;X137&amp;" | Переход: "&amp;X120&amp;" -&gt; "&amp;X121&amp;" | Сохранить: "&amp;X138&amp;" | Нельзя: "&amp;X139</f>
        <v xml:space="preserve">X ВИДЕО | Задача:  | Действие:  | Камера:  | Анимация:  | Тайминг:  | Переход:  -&gt;  | Сохранить:  | Нельзя: </v>
      </c>
      <c r="Y154" s="36" t="str">
        <f>"Y ВИДЕО | Задача: "&amp;Y114&amp;" | Действие: "&amp;Y118&amp;" | Камера: "&amp;Y126&amp;" | Анимация: "&amp;Y133&amp;" | Тайминг: "&amp;Y137&amp;" | Переход: "&amp;Y120&amp;" -&gt; "&amp;Y121&amp;" | Сохранить: "&amp;Y138&amp;" | Нельзя: "&amp;Y139</f>
        <v xml:space="preserve">Y ВИДЕО | Задача:  | Действие:  | Камера:  | Анимация:  | Тайминг:  | Переход:  -&gt;  | Сохранить:  | Нельзя: </v>
      </c>
      <c r="Z154" s="36" t="str">
        <f>"Z ВИДЕО | Задача: "&amp;Z114&amp;" | Действие: "&amp;Z118&amp;" | Камера: "&amp;Z126&amp;" | Анимация: "&amp;Z133&amp;" | Тайминг: "&amp;Z137&amp;" | Переход: "&amp;Z120&amp;" -&gt; "&amp;Z121&amp;" | Сохранить: "&amp;Z138&amp;" | Нельзя: "&amp;Z139</f>
        <v xml:space="preserve">Z ВИДЕО | Задача:  | Действие:  | Камера:  | Анимация:  | Тайминг:  | Переход:  -&gt;  | Сохранить:  | Нельзя: </v>
      </c>
      <c r="AA154" s="36" t="str">
        <f>"AA ВИДЕО | Задача: "&amp;AA114&amp;" | Действие: "&amp;AA118&amp;" | Камера: "&amp;AA126&amp;" | Анимация: "&amp;AA133&amp;" | Тайминг: "&amp;AA137&amp;" | Переход: "&amp;AA120&amp;" -&gt; "&amp;AA121&amp;" | Сохранить: "&amp;AA138&amp;" | Нельзя: "&amp;AA139</f>
        <v xml:space="preserve">AA ВИДЕО | Задача:  | Действие:  | Камера:  | Анимация:  | Тайминг:  | Переход:  -&gt;  | Сохранить:  | Нельзя: </v>
      </c>
      <c r="AB154" s="36" t="str">
        <f>"AB ВИДЕО | Задача: "&amp;AB114&amp;" | Действие: "&amp;AB118&amp;" | Камера: "&amp;AB126&amp;" | Анимация: "&amp;AB133&amp;" | Тайминг: "&amp;AB137&amp;" | Переход: "&amp;AB120&amp;" -&gt; "&amp;AB121&amp;" | Сохранить: "&amp;AB138&amp;" | Нельзя: "&amp;AB139</f>
        <v xml:space="preserve">AB ВИДЕО | Задача:  | Действие:  | Камера:  | Анимация:  | Тайминг:  | Переход:  -&gt;  | Сохранить:  | Нельзя: </v>
      </c>
      <c r="AC154" s="36" t="str">
        <f>"AC ВИДЕО | Задача: "&amp;AC114&amp;" | Действие: "&amp;AC118&amp;" | Камера: "&amp;AC126&amp;" | Анимация: "&amp;AC133&amp;" | Тайминг: "&amp;AC137&amp;" | Переход: "&amp;AC120&amp;" -&gt; "&amp;AC121&amp;" | Сохранить: "&amp;AC138&amp;" | Нельзя: "&amp;AC139</f>
        <v xml:space="preserve">AC ВИДЕО | Задача:  | Действие:  | Камера:  | Анимация:  | Тайминг:  | Переход:  -&gt;  | Сохранить:  | Нельзя: </v>
      </c>
      <c r="AD154" s="36" t="str">
        <f>"AD ВИДЕО | Задача: "&amp;AD114&amp;" | Действие: "&amp;AD118&amp;" | Камера: "&amp;AD126&amp;" | Анимация: "&amp;AD133&amp;" | Тайминг: "&amp;AD137&amp;" | Переход: "&amp;AD120&amp;" -&gt; "&amp;AD121&amp;" | Сохранить: "&amp;AD138&amp;" | Нельзя: "&amp;AD139</f>
        <v xml:space="preserve">AD ВИДЕО | Задача:  | Действие:  | Камера:  | Анимация:  | Тайминг:  | Переход:  -&gt;  | Сохранить:  | Нельзя: </v>
      </c>
      <c r="AE154" s="36" t="str">
        <f>"AE ВИДЕО | Задача: "&amp;AE114&amp;" | Действие: "&amp;AE118&amp;" | Камера: "&amp;AE126&amp;" | Анимация: "&amp;AE133&amp;" | Тайминг: "&amp;AE137&amp;" | Переход: "&amp;AE120&amp;" -&gt; "&amp;AE121&amp;" | Сохранить: "&amp;AE138&amp;" | Нельзя: "&amp;AE139</f>
        <v xml:space="preserve">AE ВИДЕО | Задача:  | Действие:  | Камера:  | Анимация:  | Тайминг:  | Переход:  -&gt;  | Сохранить:  | Нельзя: </v>
      </c>
      <c r="AF154" s="36" t="str">
        <f>"AF ВИДЕО | Задача: "&amp;AF114&amp;" | Действие: "&amp;AF118&amp;" | Камера: "&amp;AF126&amp;" | Анимация: "&amp;AF133&amp;" | Тайминг: "&amp;AF137&amp;" | Переход: "&amp;AF120&amp;" -&gt; "&amp;AF121&amp;" | Сохранить: "&amp;AF138&amp;" | Нельзя: "&amp;AF139</f>
        <v xml:space="preserve">AF ВИДЕО | Задача:  | Действие:  | Камера:  | Анимация:  | Тайминг:  | Переход:  -&gt;  | Сохранить:  | Нельзя: </v>
      </c>
      <c r="AG154" s="36" t="str">
        <f>"AG ВИДЕО | Задача: "&amp;AG114&amp;" | Действие: "&amp;AG118&amp;" | Камера: "&amp;AG126&amp;" | Анимация: "&amp;AG133&amp;" | Тайминг: "&amp;AG137&amp;" | Переход: "&amp;AG120&amp;" -&gt; "&amp;AG121&amp;" | Сохранить: "&amp;AG138&amp;" | Нельзя: "&amp;AG139</f>
        <v xml:space="preserve">AG ВИДЕО | Задача:  | Действие:  | Камера:  | Анимация:  | Тайминг:  | Переход:  -&gt;  | Сохранить:  | Нельзя: </v>
      </c>
      <c r="AH154" s="36" t="str">
        <f>"AH ВИДЕО | Задача: "&amp;AH114&amp;" | Действие: "&amp;AH118&amp;" | Камера: "&amp;AH126&amp;" | Анимация: "&amp;AH133&amp;" | Тайминг: "&amp;AH137&amp;" | Переход: "&amp;AH120&amp;" -&gt; "&amp;AH121&amp;" | Сохранить: "&amp;AH138&amp;" | Нельзя: "&amp;AH139</f>
        <v xml:space="preserve">AH ВИДЕО | Задача:  | Действие:  | Камера:  | Анимация:  | Тайминг:  | Переход:  -&gt;  | Сохранить:  | Нельзя: </v>
      </c>
      <c r="AI154" s="36" t="str">
        <f>"AI ВИДЕО | Задача: "&amp;AI114&amp;" | Действие: "&amp;AI118&amp;" | Камера: "&amp;AI126&amp;" | Анимация: "&amp;AI133&amp;" | Тайминг: "&amp;AI137&amp;" | Переход: "&amp;AI120&amp;" -&gt; "&amp;AI121&amp;" | Сохранить: "&amp;AI138&amp;" | Нельзя: "&amp;AI139</f>
        <v xml:space="preserve">AI ВИДЕО | Задача:  | Действие:  | Камера:  | Анимация:  | Тайминг:  | Переход:  -&gt;  | Сохранить:  | Нельзя: </v>
      </c>
      <c r="AJ154" s="36" t="str">
        <f>"AJ ВИДЕО | Задача: "&amp;AJ114&amp;" | Действие: "&amp;AJ118&amp;" | Камера: "&amp;AJ126&amp;" | Анимация: "&amp;AJ133&amp;" | Тайминг: "&amp;AJ137&amp;" | Переход: "&amp;AJ120&amp;" -&gt; "&amp;AJ121&amp;" | Сохранить: "&amp;AJ138&amp;" | Нельзя: "&amp;AJ139</f>
        <v xml:space="preserve">AJ ВИДЕО | Задача:  | Действие:  | Камера:  | Анимация:  | Тайминг:  | Переход:  -&gt;  | Сохранить:  | Нельзя: </v>
      </c>
      <c r="AK154" s="36" t="str">
        <f>"AK ВИДЕО | Задача: "&amp;AK114&amp;" | Действие: "&amp;AK118&amp;" | Камера: "&amp;AK126&amp;" | Анимация: "&amp;AK133&amp;" | Тайминг: "&amp;AK137&amp;" | Переход: "&amp;AK120&amp;" -&gt; "&amp;AK121&amp;" | Сохранить: "&amp;AK138&amp;" | Нельзя: "&amp;AK139</f>
        <v xml:space="preserve">AK ВИДЕО | Задача:  | Действие:  | Камера:  | Анимация:  | Тайминг:  | Переход:  -&gt;  | Сохранить:  | Нельзя: </v>
      </c>
      <c r="AL154" s="36" t="str">
        <f>"AL ВИДЕО | Задача: "&amp;AL114&amp;" | Действие: "&amp;AL118&amp;" | Камера: "&amp;AL126&amp;" | Анимация: "&amp;AL133&amp;" | Тайминг: "&amp;AL137&amp;" | Переход: "&amp;AL120&amp;" -&gt; "&amp;AL121&amp;" | Сохранить: "&amp;AL138&amp;" | Нельзя: "&amp;AL139</f>
        <v xml:space="preserve">AL ВИДЕО | Задача:  | Действие:  | Камера:  | Анимация:  | Тайминг:  | Переход:  -&gt;  | Сохранить:  | Нельзя: </v>
      </c>
      <c r="AM154" s="36" t="str">
        <f>"AM ВИДЕО | Задача: "&amp;AM114&amp;" | Действие: "&amp;AM118&amp;" | Камера: "&amp;AM126&amp;" | Анимация: "&amp;AM133&amp;" | Тайминг: "&amp;AM137&amp;" | Переход: "&amp;AM120&amp;" -&gt; "&amp;AM121&amp;" | Сохранить: "&amp;AM138&amp;" | Нельзя: "&amp;AM139</f>
        <v xml:space="preserve">AM ВИДЕО | Задача:  | Действие:  | Камера:  | Анимация:  | Тайминг:  | Переход:  -&gt;  | Сохранить:  | Нельзя: </v>
      </c>
      <c r="AN154" s="36" t="str">
        <f>"AN ВИДЕО | Задача: "&amp;AN114&amp;" | Действие: "&amp;AN118&amp;" | Камера: "&amp;AN126&amp;" | Анимация: "&amp;AN133&amp;" | Тайминг: "&amp;AN137&amp;" | Переход: "&amp;AN120&amp;" -&gt; "&amp;AN121&amp;" | Сохранить: "&amp;AN138&amp;" | Нельзя: "&amp;AN139</f>
        <v xml:space="preserve">AN ВИДЕО | Задача:  | Действие:  | Камера:  | Анимация:  | Тайминг:  | Переход:  -&gt;  | Сохранить:  | Нельзя: </v>
      </c>
      <c r="AO154" s="36" t="str">
        <f>"AO ВИДЕО | Задача: "&amp;AO114&amp;" | Действие: "&amp;AO118&amp;" | Камера: "&amp;AO126&amp;" | Анимация: "&amp;AO133&amp;" | Тайминг: "&amp;AO137&amp;" | Переход: "&amp;AO120&amp;" -&gt; "&amp;AO121&amp;" | Сохранить: "&amp;AO138&amp;" | Нельзя: "&amp;AO139</f>
        <v xml:space="preserve">AO ВИДЕО | Задача:  | Действие:  | Камера:  | Анимация:  | Тайминг:  | Переход:  -&gt;  | Сохранить:  | Нельзя: </v>
      </c>
      <c r="AP154" s="36" t="str">
        <f>"AP ВИДЕО | Задача: "&amp;AP114&amp;" | Действие: "&amp;AP118&amp;" | Камера: "&amp;AP126&amp;" | Анимация: "&amp;AP133&amp;" | Тайминг: "&amp;AP137&amp;" | Переход: "&amp;AP120&amp;" -&gt; "&amp;AP121&amp;" | Сохранить: "&amp;AP138&amp;" | Нельзя: "&amp;AP139</f>
        <v xml:space="preserve">AP ВИДЕО | Задача:  | Действие:  | Камера:  | Анимация:  | Тайминг:  | Переход:  -&gt;  | Сохранить:  | Нельзя: </v>
      </c>
      <c r="AQ154" s="36" t="str">
        <f>"AQ ВИДЕО | Задача: "&amp;AQ114&amp;" | Действие: "&amp;AQ118&amp;" | Камера: "&amp;AQ126&amp;" | Анимация: "&amp;AQ133&amp;" | Тайминг: "&amp;AQ137&amp;" | Переход: "&amp;AQ120&amp;" -&gt; "&amp;AQ121&amp;" | Сохранить: "&amp;AQ138&amp;" | Нельзя: "&amp;AQ139</f>
        <v xml:space="preserve">AQ ВИДЕО | Задача:  | Действие:  | Камера:  | Анимация:  | Тайминг:  | Переход:  -&gt;  | Сохранить:  | Нельзя: </v>
      </c>
      <c r="AR154" s="36" t="str">
        <f>"AR ВИДЕО | Задача: "&amp;AR114&amp;" | Действие: "&amp;AR118&amp;" | Камера: "&amp;AR126&amp;" | Анимация: "&amp;AR133&amp;" | Тайминг: "&amp;AR137&amp;" | Переход: "&amp;AR120&amp;" -&gt; "&amp;AR121&amp;" | Сохранить: "&amp;AR138&amp;" | Нельзя: "&amp;AR139</f>
        <v xml:space="preserve">AR ВИДЕО | Задача:  | Действие:  | Камера:  | Анимация:  | Тайминг:  | Переход:  -&gt;  | Сохранить:  | Нельзя: </v>
      </c>
      <c r="AS154" s="36" t="str">
        <f>"AS ВИДЕО | Задача: "&amp;AS114&amp;" | Действие: "&amp;AS118&amp;" | Камера: "&amp;AS126&amp;" | Анимация: "&amp;AS133&amp;" | Тайминг: "&amp;AS137&amp;" | Переход: "&amp;AS120&amp;" -&gt; "&amp;AS121&amp;" | Сохранить: "&amp;AS138&amp;" | Нельзя: "&amp;AS139</f>
        <v xml:space="preserve">AS ВИДЕО | Задача:  | Действие:  | Камера:  | Анимация:  | Тайминг:  | Переход:  -&gt;  | Сохранить:  | Нельзя: </v>
      </c>
      <c r="AT154" s="36" t="str">
        <f>"AT ВИДЕО | Задача: "&amp;AT114&amp;" | Действие: "&amp;AT118&amp;" | Камера: "&amp;AT126&amp;" | Анимация: "&amp;AT133&amp;" | Тайминг: "&amp;AT137&amp;" | Переход: "&amp;AT120&amp;" -&gt; "&amp;AT121&amp;" | Сохранить: "&amp;AT138&amp;" | Нельзя: "&amp;AT139</f>
        <v xml:space="preserve">AT ВИДЕО | Задача:  | Действие:  | Камера:  | Анимация:  | Тайминг:  | Переход:  -&gt;  | Сохранить:  | Нельзя: </v>
      </c>
      <c r="AU154" s="36" t="str">
        <f>"AU ВИДЕО | Задача: "&amp;AU114&amp;" | Действие: "&amp;AU118&amp;" | Камера: "&amp;AU126&amp;" | Анимация: "&amp;AU133&amp;" | Тайминг: "&amp;AU137&amp;" | Переход: "&amp;AU120&amp;" -&gt; "&amp;AU121&amp;" | Сохранить: "&amp;AU138&amp;" | Нельзя: "&amp;AU139</f>
        <v xml:space="preserve">AU ВИДЕО | Задача:  | Действие:  | Камера:  | Анимация:  | Тайминг:  | Переход:  -&gt;  | Сохранить:  | Нельзя: </v>
      </c>
      <c r="AV154" s="36" t="str">
        <f>"AV ВИДЕО | Задача: "&amp;AV114&amp;" | Действие: "&amp;AV118&amp;" | Камера: "&amp;AV126&amp;" | Анимация: "&amp;AV133&amp;" | Тайминг: "&amp;AV137&amp;" | Переход: "&amp;AV120&amp;" -&gt; "&amp;AV121&amp;" | Сохранить: "&amp;AV138&amp;" | Нельзя: "&amp;AV139</f>
        <v xml:space="preserve">AV ВИДЕО | Задача:  | Действие:  | Камера:  | Анимация:  | Тайминг:  | Переход:  -&gt;  | Сохранить:  | Нельзя: </v>
      </c>
      <c r="AW154" s="36" t="str">
        <f>"AW ВИДЕО | Задача: "&amp;AW114&amp;" | Действие: "&amp;AW118&amp;" | Камера: "&amp;AW126&amp;" | Анимация: "&amp;AW133&amp;" | Тайминг: "&amp;AW137&amp;" | Переход: "&amp;AW120&amp;" -&gt; "&amp;AW121&amp;" | Сохранить: "&amp;AW138&amp;" | Нельзя: "&amp;AW139</f>
        <v xml:space="preserve">AW ВИДЕО | Задача:  | Действие:  | Камера:  | Анимация:  | Тайминг:  | Переход:  -&gt;  | Сохранить:  | Нельзя: </v>
      </c>
      <c r="AX154" s="36" t="str">
        <f>"AX ВИДЕО | Задача: "&amp;AX114&amp;" | Действие: "&amp;AX118&amp;" | Камера: "&amp;AX126&amp;" | Анимация: "&amp;AX133&amp;" | Тайминг: "&amp;AX137&amp;" | Переход: "&amp;AX120&amp;" -&gt; "&amp;AX121&amp;" | Сохранить: "&amp;AX138&amp;" | Нельзя: "&amp;AX139</f>
        <v xml:space="preserve">AX ВИДЕО | Задача:  | Действие:  | Камера:  | Анимация:  | Тайминг:  | Переход:  -&gt;  | Сохранить:  | Нельзя: </v>
      </c>
      <c r="AY154" s="36" t="str">
        <f>"AY ВИДЕО | Задача: "&amp;AY114&amp;" | Действие: "&amp;AY118&amp;" | Камера: "&amp;AY126&amp;" | Анимация: "&amp;AY133&amp;" | Тайминг: "&amp;AY137&amp;" | Переход: "&amp;AY120&amp;" -&gt; "&amp;AY121&amp;" | Сохранить: "&amp;AY138&amp;" | Нельзя: "&amp;AY139</f>
        <v xml:space="preserve">AY ВИДЕО | Задача:  | Действие:  | Камера:  | Анимация:  | Тайминг:  | Переход:  -&gt;  | Сохранить:  | Нельзя: </v>
      </c>
      <c r="AZ154" s="36" t="str">
        <f>"AZ ВИДЕО | Задача: "&amp;AZ114&amp;" | Действие: "&amp;AZ118&amp;" | Камера: "&amp;AZ126&amp;" | Анимация: "&amp;AZ133&amp;" | Тайминг: "&amp;AZ137&amp;" | Переход: "&amp;AZ120&amp;" -&gt; "&amp;AZ121&amp;" | Сохранить: "&amp;AZ138&amp;" | Нельзя: "&amp;AZ139</f>
        <v xml:space="preserve">AZ ВИДЕО | Задача:  | Действие:  | Камера:  | Анимация:  | Тайминг:  | Переход:  -&gt;  | Сохранить:  | Нельзя: </v>
      </c>
      <c r="BA154" s="36" t="str">
        <f>"BA ВИДЕО | Задача: "&amp;BA114&amp;" | Действие: "&amp;BA118&amp;" | Камера: "&amp;BA126&amp;" | Анимация: "&amp;BA133&amp;" | Тайминг: "&amp;BA137&amp;" | Переход: "&amp;BA120&amp;" -&gt; "&amp;BA121&amp;" | Сохранить: "&amp;BA138&amp;" | Нельзя: "&amp;BA139</f>
        <v xml:space="preserve">BA ВИДЕО | Задача:  | Действие:  | Камера:  | Анимация:  | Тайминг:  | Переход:  -&gt;  | Сохранить:  | Нельзя: </v>
      </c>
      <c r="BB154" s="36" t="str">
        <f>"BB ВИДЕО | Задача: "&amp;BB114&amp;" | Действие: "&amp;BB118&amp;" | Камера: "&amp;BB126&amp;" | Анимация: "&amp;BB133&amp;" | Тайминг: "&amp;BB137&amp;" | Переход: "&amp;BB120&amp;" -&gt; "&amp;BB121&amp;" | Сохранить: "&amp;BB138&amp;" | Нельзя: "&amp;BB139</f>
        <v xml:space="preserve">BB ВИДЕО | Задача:  | Действие:  | Камера:  | Анимация:  | Тайминг:  | Переход:  -&gt;  | Сохранить:  | Нельзя: </v>
      </c>
      <c r="BC154" s="36" t="str">
        <f>"BC ВИДЕО | Задача: "&amp;BC114&amp;" | Действие: "&amp;BC118&amp;" | Камера: "&amp;BC126&amp;" | Анимация: "&amp;BC133&amp;" | Тайминг: "&amp;BC137&amp;" | Переход: "&amp;BC120&amp;" -&gt; "&amp;BC121&amp;" | Сохранить: "&amp;BC138&amp;" | Нельзя: "&amp;BC139</f>
        <v xml:space="preserve">BC ВИДЕО | Задача:  | Действие:  | Камера:  | Анимация:  | Тайминг:  | Переход:  -&gt;  | Сохранить:  | Нельзя: </v>
      </c>
      <c r="BD154" s="36" t="str">
        <f>"BD ВИДЕО | Задача: "&amp;BD114&amp;" | Действие: "&amp;BD118&amp;" | Камера: "&amp;BD126&amp;" | Анимация: "&amp;BD133&amp;" | Тайминг: "&amp;BD137&amp;" | Переход: "&amp;BD120&amp;" -&gt; "&amp;BD121&amp;" | Сохранить: "&amp;BD138&amp;" | Нельзя: "&amp;BD139</f>
        <v xml:space="preserve">BD ВИДЕО | Задача:  | Действие:  | Камера:  | Анимация:  | Тайминг:  | Переход:  -&gt;  | Сохранить:  | Нельзя: </v>
      </c>
      <c r="BE154" s="36" t="str">
        <f>"BE ВИДЕО | Задача: "&amp;BE114&amp;" | Действие: "&amp;BE118&amp;" | Камера: "&amp;BE126&amp;" | Анимация: "&amp;BE133&amp;" | Тайминг: "&amp;BE137&amp;" | Переход: "&amp;BE120&amp;" -&gt; "&amp;BE121&amp;" | Сохранить: "&amp;BE138&amp;" | Нельзя: "&amp;BE139</f>
        <v xml:space="preserve">BE ВИДЕО | Задача:  | Действие:  | Камера:  | Анимация:  | Тайминг:  | Переход:  -&gt;  | Сохранить:  | Нельзя: </v>
      </c>
      <c r="BF154" s="36" t="str">
        <f>"BF ВИДЕО | Задача: "&amp;BF114&amp;" | Действие: "&amp;BF118&amp;" | Камера: "&amp;BF126&amp;" | Анимация: "&amp;BF133&amp;" | Тайминг: "&amp;BF137&amp;" | Переход: "&amp;BF120&amp;" -&gt; "&amp;BF121&amp;" | Сохранить: "&amp;BF138&amp;" | Нельзя: "&amp;BF139</f>
        <v xml:space="preserve">BF ВИДЕО | Задача:  | Действие:  | Камера:  | Анимация:  | Тайминг:  | Переход:  -&gt;  | Сохранить:  | Нельзя: </v>
      </c>
      <c r="BG154" s="36" t="str">
        <f>"BG ВИДЕО | Задача: "&amp;BG114&amp;" | Действие: "&amp;BG118&amp;" | Камера: "&amp;BG126&amp;" | Анимация: "&amp;BG133&amp;" | Тайминг: "&amp;BG137&amp;" | Переход: "&amp;BG120&amp;" -&gt; "&amp;BG121&amp;" | Сохранить: "&amp;BG138&amp;" | Нельзя: "&amp;BG139</f>
        <v xml:space="preserve">BG ВИДЕО | Задача:  | Действие:  | Камера:  | Анимация:  | Тайминг:  | Переход:  -&gt;  | Сохранить:  | Нельзя: </v>
      </c>
      <c r="BH154" s="36" t="str">
        <f>"BH ВИДЕО | Задача: "&amp;BH114&amp;" | Действие: "&amp;BH118&amp;" | Камера: "&amp;BH126&amp;" | Анимация: "&amp;BH133&amp;" | Тайминг: "&amp;BH137&amp;" | Переход: "&amp;BH120&amp;" -&gt; "&amp;BH121&amp;" | Сохранить: "&amp;BH138&amp;" | Нельзя: "&amp;BH139</f>
        <v xml:space="preserve">BH ВИДЕО | Задача:  | Действие:  | Камера:  | Анимация:  | Тайминг:  | Переход:  -&gt;  | Сохранить:  | Нельзя: </v>
      </c>
      <c r="BI154" s="36" t="str">
        <f>"BI ВИДЕО | Задача: "&amp;BI114&amp;" | Действие: "&amp;BI118&amp;" | Камера: "&amp;BI126&amp;" | Анимация: "&amp;BI133&amp;" | Тайминг: "&amp;BI137&amp;" | Переход: "&amp;BI120&amp;" -&gt; "&amp;BI121&amp;" | Сохранить: "&amp;BI138&amp;" | Нельзя: "&amp;BI139</f>
        <v xml:space="preserve">BI ВИДЕО | Задача:  | Действие:  | Камера:  | Анимация:  | Тайминг:  | Переход:  -&gt;  | Сохранить:  | Нельзя: </v>
      </c>
      <c r="BJ154" s="36" t="str">
        <f>"BJ ВИДЕО | Задача: "&amp;BJ114&amp;" | Действие: "&amp;BJ118&amp;" | Камера: "&amp;BJ126&amp;" | Анимация: "&amp;BJ133&amp;" | Тайминг: "&amp;BJ137&amp;" | Переход: "&amp;BJ120&amp;" -&gt; "&amp;BJ121&amp;" | Сохранить: "&amp;BJ138&amp;" | Нельзя: "&amp;BJ139</f>
        <v xml:space="preserve">BJ ВИДЕО | Задача:  | Действие:  | Камера:  | Анимация:  | Тайминг:  | Переход:  -&gt;  | Сохранить:  | Нельзя: </v>
      </c>
      <c r="BK154" s="36" t="str">
        <f>"BK ВИДЕО | Задача: "&amp;BK114&amp;" | Действие: "&amp;BK118&amp;" | Камера: "&amp;BK126&amp;" | Анимация: "&amp;BK133&amp;" | Тайминг: "&amp;BK137&amp;" | Переход: "&amp;BK120&amp;" -&gt; "&amp;BK121&amp;" | Сохранить: "&amp;BK138&amp;" | Нельзя: "&amp;BK139</f>
        <v xml:space="preserve">BK ВИДЕО | Задача:  | Действие:  | Камера:  | Анимация:  | Тайминг:  | Переход:  -&gt;  | Сохранить:  | Нельзя: </v>
      </c>
      <c r="BL154" s="36" t="str">
        <f>"BL ВИДЕО | Задача: "&amp;BL114&amp;" | Действие: "&amp;BL118&amp;" | Камера: "&amp;BL126&amp;" | Анимация: "&amp;BL133&amp;" | Тайминг: "&amp;BL137&amp;" | Переход: "&amp;BL120&amp;" -&gt; "&amp;BL121&amp;" | Сохранить: "&amp;BL138&amp;" | Нельзя: "&amp;BL139</f>
        <v xml:space="preserve">BL ВИДЕО | Задача:  | Действие:  | Камера:  | Анимация:  | Тайминг:  | Переход:  -&gt;  | Сохранить:  | Нельзя: </v>
      </c>
      <c r="BM154" s="36" t="str">
        <f>"BM ВИДЕО | Задача: "&amp;BM114&amp;" | Действие: "&amp;BM118&amp;" | Камера: "&amp;BM126&amp;" | Анимация: "&amp;BM133&amp;" | Тайминг: "&amp;BM137&amp;" | Переход: "&amp;BM120&amp;" -&gt; "&amp;BM121&amp;" | Сохранить: "&amp;BM138&amp;" | Нельзя: "&amp;BM139</f>
        <v xml:space="preserve">BM ВИДЕО | Задача:  | Действие:  | Камера:  | Анимация:  | Тайминг:  | Переход:  -&gt;  | Сохранить:  | Нельзя: </v>
      </c>
      <c r="BN154" s="36" t="str">
        <f>"BN ВИДЕО | Задача: "&amp;BN114&amp;" | Действие: "&amp;BN118&amp;" | Камера: "&amp;BN126&amp;" | Анимация: "&amp;BN133&amp;" | Тайминг: "&amp;BN137&amp;" | Переход: "&amp;BN120&amp;" -&gt; "&amp;BN121&amp;" | Сохранить: "&amp;BN138&amp;" | Нельзя: "&amp;BN139</f>
        <v xml:space="preserve">BN ВИДЕО | Задача:  | Действие:  | Камера:  | Анимация:  | Тайминг:  | Переход:  -&gt;  | Сохранить:  | Нельзя: </v>
      </c>
      <c r="BO154" s="36" t="str">
        <f>"BO ВИДЕО | Задача: "&amp;BO114&amp;" | Действие: "&amp;BO118&amp;" | Камера: "&amp;BO126&amp;" | Анимация: "&amp;BO133&amp;" | Тайминг: "&amp;BO137&amp;" | Переход: "&amp;BO120&amp;" -&gt; "&amp;BO121&amp;" | Сохранить: "&amp;BO138&amp;" | Нельзя: "&amp;BO139</f>
        <v xml:space="preserve">BO ВИДЕО | Задача:  | Действие:  | Камера:  | Анимация:  | Тайминг:  | Переход:  -&gt;  | Сохранить:  | Нельзя: </v>
      </c>
      <c r="BP154" s="36" t="str">
        <f>"BP ВИДЕО | Задача: "&amp;BP114&amp;" | Действие: "&amp;BP118&amp;" | Камера: "&amp;BP126&amp;" | Анимация: "&amp;BP133&amp;" | Тайминг: "&amp;BP137&amp;" | Переход: "&amp;BP120&amp;" -&gt; "&amp;BP121&amp;" | Сохранить: "&amp;BP138&amp;" | Нельзя: "&amp;BP139</f>
        <v xml:space="preserve">BP ВИДЕО | Задача:  | Действие:  | Камера:  | Анимация:  | Тайминг:  | Переход:  -&gt;  | Сохранить:  | Нельзя: </v>
      </c>
      <c r="BQ154" s="36" t="str">
        <f>"BQ ВИДЕО | Задача: "&amp;BQ114&amp;" | Действие: "&amp;BQ118&amp;" | Камера: "&amp;BQ126&amp;" | Анимация: "&amp;BQ133&amp;" | Тайминг: "&amp;BQ137&amp;" | Переход: "&amp;BQ120&amp;" -&gt; "&amp;BQ121&amp;" | Сохранить: "&amp;BQ138&amp;" | Нельзя: "&amp;BQ139</f>
        <v xml:space="preserve">BQ ВИДЕО | Задача:  | Действие:  | Камера:  | Анимация:  | Тайминг:  | Переход:  -&gt;  | Сохранить:  | Нельзя: </v>
      </c>
      <c r="BR154" s="36" t="str">
        <f>"BR ВИДЕО | Задача: "&amp;BR114&amp;" | Действие: "&amp;BR118&amp;" | Камера: "&amp;BR126&amp;" | Анимация: "&amp;BR133&amp;" | Тайминг: "&amp;BR137&amp;" | Переход: "&amp;BR120&amp;" -&gt; "&amp;BR121&amp;" | Сохранить: "&amp;BR138&amp;" | Нельзя: "&amp;BR139</f>
        <v xml:space="preserve">BR ВИДЕО | Задача:  | Действие:  | Камера:  | Анимация:  | Тайминг:  | Переход:  -&gt;  | Сохранить:  | Нельзя: </v>
      </c>
      <c r="BS154" s="36" t="str">
        <f>"BS ВИДЕО | Задача: "&amp;BS114&amp;" | Действие: "&amp;BS118&amp;" | Камера: "&amp;BS126&amp;" | Анимация: "&amp;BS133&amp;" | Тайминг: "&amp;BS137&amp;" | Переход: "&amp;BS120&amp;" -&gt; "&amp;BS121&amp;" | Сохранить: "&amp;BS138&amp;" | Нельзя: "&amp;BS139</f>
        <v xml:space="preserve">BS ВИДЕО | Задача:  | Действие:  | Камера:  | Анимация:  | Тайминг:  | Переход:  -&gt;  | Сохранить:  | Нельзя: </v>
      </c>
      <c r="BT154" s="36" t="str">
        <f>"BT ВИДЕО | Задача: "&amp;BT114&amp;" | Действие: "&amp;BT118&amp;" | Камера: "&amp;BT126&amp;" | Анимация: "&amp;BT133&amp;" | Тайминг: "&amp;BT137&amp;" | Переход: "&amp;BT120&amp;" -&gt; "&amp;BT121&amp;" | Сохранить: "&amp;BT138&amp;" | Нельзя: "&amp;BT139</f>
        <v xml:space="preserve">BT ВИДЕО | Задача:  | Действие:  | Камера:  | Анимация:  | Тайминг:  | Переход:  -&gt;  | Сохранить:  | Нельзя: </v>
      </c>
      <c r="BU154" s="36" t="str">
        <f>"BU ВИДЕО | Задача: "&amp;BU114&amp;" | Действие: "&amp;BU118&amp;" | Камера: "&amp;BU126&amp;" | Анимация: "&amp;BU133&amp;" | Тайминг: "&amp;BU137&amp;" | Переход: "&amp;BU120&amp;" -&gt; "&amp;BU121&amp;" | Сохранить: "&amp;BU138&amp;" | Нельзя: "&amp;BU139</f>
        <v xml:space="preserve">BU ВИДЕО | Задача:  | Действие:  | Камера:  | Анимация:  | Тайминг:  | Переход:  -&gt;  | Сохранить:  | Нельзя: </v>
      </c>
      <c r="BV154" s="36" t="str">
        <f>"BV ВИДЕО | Задача: "&amp;BV114&amp;" | Действие: "&amp;BV118&amp;" | Камера: "&amp;BV126&amp;" | Анимация: "&amp;BV133&amp;" | Тайминг: "&amp;BV137&amp;" | Переход: "&amp;BV120&amp;" -&gt; "&amp;BV121&amp;" | Сохранить: "&amp;BV138&amp;" | Нельзя: "&amp;BV139</f>
        <v xml:space="preserve">BV ВИДЕО | Задача:  | Действие:  | Камера:  | Анимация:  | Тайминг:  | Переход:  -&gt;  | Сохранить:  | Нельзя: </v>
      </c>
      <c r="BW154" s="36" t="str">
        <f>"BW ВИДЕО | Задача: "&amp;BW114&amp;" | Действие: "&amp;BW118&amp;" | Камера: "&amp;BW126&amp;" | Анимация: "&amp;BW133&amp;" | Тайминг: "&amp;BW137&amp;" | Переход: "&amp;BW120&amp;" -&gt; "&amp;BW121&amp;" | Сохранить: "&amp;BW138&amp;" | Нельзя: "&amp;BW139</f>
        <v xml:space="preserve">BW ВИДЕО | Задача:  | Действие:  | Камера:  | Анимация:  | Тайминг:  | Переход:  -&gt;  | Сохранить:  | Нельзя: </v>
      </c>
      <c r="BX154" s="36" t="str">
        <f>"BX ВИДЕО | Задача: "&amp;BX114&amp;" | Действие: "&amp;BX118&amp;" | Камера: "&amp;BX126&amp;" | Анимация: "&amp;BX133&amp;" | Тайминг: "&amp;BX137&amp;" | Переход: "&amp;BX120&amp;" -&gt; "&amp;BX121&amp;" | Сохранить: "&amp;BX138&amp;" | Нельзя: "&amp;BX139</f>
        <v xml:space="preserve">BX ВИДЕО | Задача:  | Действие:  | Камера:  | Анимация:  | Тайминг:  | Переход:  -&gt;  | Сохранить:  | Нельзя: </v>
      </c>
      <c r="BY154" s="36" t="str">
        <f>"BY ВИДЕО | Задача: "&amp;BY114&amp;" | Действие: "&amp;BY118&amp;" | Камера: "&amp;BY126&amp;" | Анимация: "&amp;BY133&amp;" | Тайминг: "&amp;BY137&amp;" | Переход: "&amp;BY120&amp;" -&gt; "&amp;BY121&amp;" | Сохранить: "&amp;BY138&amp;" | Нельзя: "&amp;BY139</f>
        <v xml:space="preserve">BY ВИДЕО | Задача:  | Действие:  | Камера:  | Анимация:  | Тайминг:  | Переход:  -&gt;  | Сохранить:  | Нельзя: </v>
      </c>
      <c r="BZ154" s="36" t="str">
        <f>"BZ ВИДЕО | Задача: "&amp;BZ114&amp;" | Действие: "&amp;BZ118&amp;" | Камера: "&amp;BZ126&amp;" | Анимация: "&amp;BZ133&amp;" | Тайминг: "&amp;BZ137&amp;" | Переход: "&amp;BZ120&amp;" -&gt; "&amp;BZ121&amp;" | Сохранить: "&amp;BZ138&amp;" | Нельзя: "&amp;BZ139</f>
        <v xml:space="preserve">BZ ВИДЕО | Задача:  | Действие:  | Камера:  | Анимация:  | Тайминг:  | Переход:  -&gt;  | Сохранить:  | Нельзя: </v>
      </c>
      <c r="CA154" s="36" t="str">
        <f>"CA ВИДЕО | Задача: "&amp;CA114&amp;" | Действие: "&amp;CA118&amp;" | Камера: "&amp;CA126&amp;" | Анимация: "&amp;CA133&amp;" | Тайминг: "&amp;CA137&amp;" | Переход: "&amp;CA120&amp;" -&gt; "&amp;CA121&amp;" | Сохранить: "&amp;CA138&amp;" | Нельзя: "&amp;CA139</f>
        <v xml:space="preserve">CA ВИДЕО | Задача:  | Действие:  | Камера:  | Анимация:  | Тайминг:  | Переход:  -&gt;  | Сохранить:  | Нельзя: </v>
      </c>
      <c r="CB154" s="36" t="str">
        <f>"CB ВИДЕО | Задача: "&amp;CB114&amp;" | Действие: "&amp;CB118&amp;" | Камера: "&amp;CB126&amp;" | Анимация: "&amp;CB133&amp;" | Тайминг: "&amp;CB137&amp;" | Переход: "&amp;CB120&amp;" -&gt; "&amp;CB121&amp;" | Сохранить: "&amp;CB138&amp;" | Нельзя: "&amp;CB139</f>
        <v xml:space="preserve">CB ВИДЕО | Задача:  | Действие:  | Камера:  | Анимация:  | Тайминг:  | Переход:  -&gt;  | Сохранить:  | Нельзя: </v>
      </c>
      <c r="CC154" s="36" t="str">
        <f>"CC ВИДЕО | Задача: "&amp;CC114&amp;" | Действие: "&amp;CC118&amp;" | Камера: "&amp;CC126&amp;" | Анимация: "&amp;CC133&amp;" | Тайминг: "&amp;CC137&amp;" | Переход: "&amp;CC120&amp;" -&gt; "&amp;CC121&amp;" | Сохранить: "&amp;CC138&amp;" | Нельзя: "&amp;CC139</f>
        <v xml:space="preserve">CC ВИДЕО | Задача:  | Действие:  | Камера:  | Анимация:  | Тайминг:  | Переход:  -&gt;  | Сохранить:  | Нельзя: </v>
      </c>
      <c r="CD154" s="36" t="str">
        <f>"CD ВИДЕО | Задача: "&amp;CD114&amp;" | Действие: "&amp;CD118&amp;" | Камера: "&amp;CD126&amp;" | Анимация: "&amp;CD133&amp;" | Тайминг: "&amp;CD137&amp;" | Переход: "&amp;CD120&amp;" -&gt; "&amp;CD121&amp;" | Сохранить: "&amp;CD138&amp;" | Нельзя: "&amp;CD139</f>
        <v xml:space="preserve">CD ВИДЕО | Задача:  | Действие:  | Камера:  | Анимация:  | Тайминг:  | Переход:  -&gt;  | Сохранить:  | Нельзя: </v>
      </c>
      <c r="CE154" s="36" t="str">
        <f>"CE ВИДЕО | Задача: "&amp;CE114&amp;" | Действие: "&amp;CE118&amp;" | Камера: "&amp;CE126&amp;" | Анимация: "&amp;CE133&amp;" | Тайминг: "&amp;CE137&amp;" | Переход: "&amp;CE120&amp;" -&gt; "&amp;CE121&amp;" | Сохранить: "&amp;CE138&amp;" | Нельзя: "&amp;CE139</f>
        <v xml:space="preserve">CE ВИДЕО | Задача:  | Действие:  | Камера:  | Анимация:  | Тайминг:  | Переход:  -&gt;  | Сохранить:  | Нельзя: </v>
      </c>
      <c r="CF154" s="36" t="str">
        <f>"CF ВИДЕО | Задача: "&amp;CF114&amp;" | Действие: "&amp;CF118&amp;" | Камера: "&amp;CF126&amp;" | Анимация: "&amp;CF133&amp;" | Тайминг: "&amp;CF137&amp;" | Переход: "&amp;CF120&amp;" -&gt; "&amp;CF121&amp;" | Сохранить: "&amp;CF138&amp;" | Нельзя: "&amp;CF139</f>
        <v xml:space="preserve">CF ВИДЕО | Задача:  | Действие:  | Камера:  | Анимация:  | Тайминг:  | Переход:  -&gt;  | Сохранить:  | Нельзя: </v>
      </c>
      <c r="CG154" s="36" t="str">
        <f>"CG ВИДЕО | Задача: "&amp;CG114&amp;" | Действие: "&amp;CG118&amp;" | Камера: "&amp;CG126&amp;" | Анимация: "&amp;CG133&amp;" | Тайминг: "&amp;CG137&amp;" | Переход: "&amp;CG120&amp;" -&gt; "&amp;CG121&amp;" | Сохранить: "&amp;CG138&amp;" | Нельзя: "&amp;CG139</f>
        <v xml:space="preserve">CG ВИДЕО | Задача:  | Действие:  | Камера:  | Анимация:  | Тайминг:  | Переход:  -&gt;  | Сохранить:  | Нельзя: </v>
      </c>
      <c r="CH154" s="36" t="str">
        <f>"CH ВИДЕО | Задача: "&amp;CH114&amp;" | Действие: "&amp;CH118&amp;" | Камера: "&amp;CH126&amp;" | Анимация: "&amp;CH133&amp;" | Тайминг: "&amp;CH137&amp;" | Переход: "&amp;CH120&amp;" -&gt; "&amp;CH121&amp;" | Сохранить: "&amp;CH138&amp;" | Нельзя: "&amp;CH139</f>
        <v xml:space="preserve">CH ВИДЕО | Задача:  | Действие:  | Камера:  | Анимация:  | Тайминг:  | Переход:  -&gt;  | Сохранить:  | Нельзя: </v>
      </c>
      <c r="CI154" s="36" t="str">
        <f>"CI ВИДЕО | Задача: "&amp;CI114&amp;" | Действие: "&amp;CI118&amp;" | Камера: "&amp;CI126&amp;" | Анимация: "&amp;CI133&amp;" | Тайминг: "&amp;CI137&amp;" | Переход: "&amp;CI120&amp;" -&gt; "&amp;CI121&amp;" | Сохранить: "&amp;CI138&amp;" | Нельзя: "&amp;CI139</f>
        <v xml:space="preserve">CI ВИДЕО | Задача:  | Действие:  | Камера:  | Анимация:  | Тайминг:  | Переход:  -&gt;  | Сохранить:  | Нельзя: </v>
      </c>
      <c r="CJ154" s="36" t="str">
        <f>"CJ ВИДЕО | Задача: "&amp;CJ114&amp;" | Действие: "&amp;CJ118&amp;" | Камера: "&amp;CJ126&amp;" | Анимация: "&amp;CJ133&amp;" | Тайминг: "&amp;CJ137&amp;" | Переход: "&amp;CJ120&amp;" -&gt; "&amp;CJ121&amp;" | Сохранить: "&amp;CJ138&amp;" | Нельзя: "&amp;CJ139</f>
        <v xml:space="preserve">CJ ВИДЕО | Задача:  | Действие:  | Камера:  | Анимация:  | Тайминг:  | Переход:  -&gt;  | Сохранить:  | Нельзя: </v>
      </c>
      <c r="CK154" s="36" t="str">
        <f>"CK ВИДЕО | Задача: "&amp;CK114&amp;" | Действие: "&amp;CK118&amp;" | Камера: "&amp;CK126&amp;" | Анимация: "&amp;CK133&amp;" | Тайминг: "&amp;CK137&amp;" | Переход: "&amp;CK120&amp;" -&gt; "&amp;CK121&amp;" | Сохранить: "&amp;CK138&amp;" | Нельзя: "&amp;CK139</f>
        <v xml:space="preserve">CK ВИДЕО | Задача:  | Действие:  | Камера:  | Анимация:  | Тайминг:  | Переход:  -&gt;  | Сохранить:  | Нельзя: </v>
      </c>
      <c r="CL154" s="36" t="str">
        <f>"CL ВИДЕО | Задача: "&amp;CL114&amp;" | Действие: "&amp;CL118&amp;" | Камера: "&amp;CL126&amp;" | Анимация: "&amp;CL133&amp;" | Тайминг: "&amp;CL137&amp;" | Переход: "&amp;CL120&amp;" -&gt; "&amp;CL121&amp;" | Сохранить: "&amp;CL138&amp;" | Нельзя: "&amp;CL139</f>
        <v xml:space="preserve">CL ВИДЕО | Задача:  | Действие:  | Камера:  | Анимация:  | Тайминг:  | Переход:  -&gt;  | Сохранить:  | Нельзя: </v>
      </c>
      <c r="CM154" s="36" t="str">
        <f>"CM ВИДЕО | Задача: "&amp;CM114&amp;" | Действие: "&amp;CM118&amp;" | Камера: "&amp;CM126&amp;" | Анимация: "&amp;CM133&amp;" | Тайминг: "&amp;CM137&amp;" | Переход: "&amp;CM120&amp;" -&gt; "&amp;CM121&amp;" | Сохранить: "&amp;CM138&amp;" | Нельзя: "&amp;CM139</f>
        <v xml:space="preserve">CM ВИДЕО | Задача:  | Действие:  | Камера:  | Анимация:  | Тайминг:  | Переход:  -&gt;  | Сохранить:  | Нельзя: </v>
      </c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</row>
    <row r="155" spans="1:112" s="27" customFormat="1" ht="45" customHeight="1" x14ac:dyDescent="0.2">
      <c r="A155" s="35"/>
      <c r="B155" s="34"/>
      <c r="C155" s="45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</row>
    <row r="156" spans="1:112" s="27" customFormat="1" ht="45" customHeight="1" x14ac:dyDescent="0.2">
      <c r="A156" s="34"/>
      <c r="B156" s="34"/>
      <c r="C156" s="45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</row>
    <row r="157" spans="1:112" s="27" customFormat="1" ht="12.75" customHeight="1" x14ac:dyDescent="0.2">
      <c r="A157" s="34"/>
      <c r="B157" s="17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</row>
    <row r="158" spans="1:112" s="27" customFormat="1" ht="12.75" customHeight="1" x14ac:dyDescent="0.2">
      <c r="A158" s="34"/>
      <c r="B158" s="17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</row>
    <row r="159" spans="1:112" s="27" customFormat="1" ht="12.75" customHeight="1" x14ac:dyDescent="0.2">
      <c r="A159" s="34"/>
      <c r="B159" s="17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</row>
    <row r="160" spans="1:112" s="27" customFormat="1" ht="12.75" customHeight="1" x14ac:dyDescent="0.2">
      <c r="A160" s="34"/>
      <c r="B160" s="17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</row>
    <row r="161" spans="1:112" s="27" customFormat="1" ht="12.75" customHeight="1" x14ac:dyDescent="0.2">
      <c r="A161" s="34"/>
      <c r="B161" s="17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</row>
    <row r="162" spans="1:112" s="27" customFormat="1" ht="12.75" customHeight="1" x14ac:dyDescent="0.2">
      <c r="A162" s="34"/>
      <c r="B162" s="17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</row>
    <row r="163" spans="1:112" s="27" customFormat="1" ht="12.75" customHeight="1" x14ac:dyDescent="0.2">
      <c r="A163" s="34"/>
      <c r="B163" s="17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</row>
    <row r="164" spans="1:112" s="27" customFormat="1" ht="12.75" customHeight="1" x14ac:dyDescent="0.2">
      <c r="A164" s="34"/>
      <c r="B164" s="17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</row>
    <row r="165" spans="1:112" s="27" customFormat="1" ht="12.75" customHeight="1" x14ac:dyDescent="0.2">
      <c r="A165" s="35"/>
      <c r="B165" s="17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</row>
    <row r="166" spans="1:112" s="27" customFormat="1" ht="12.75" customHeight="1" x14ac:dyDescent="0.2">
      <c r="A166" s="34"/>
      <c r="B166" s="17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</row>
    <row r="167" spans="1:112" s="27" customFormat="1" ht="12.75" customHeight="1" x14ac:dyDescent="0.2">
      <c r="A167" s="34"/>
      <c r="B167" s="17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</row>
    <row r="168" spans="1:112" s="27" customFormat="1" ht="12.75" customHeight="1" x14ac:dyDescent="0.2">
      <c r="A168" s="34"/>
      <c r="B168" s="17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</row>
    <row r="169" spans="1:112" s="27" customFormat="1" ht="12.75" customHeight="1" x14ac:dyDescent="0.2">
      <c r="A169" s="34"/>
      <c r="B169" s="17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</row>
    <row r="170" spans="1:112" s="27" customFormat="1" ht="12.75" customHeight="1" x14ac:dyDescent="0.2">
      <c r="A170" s="34"/>
      <c r="B170" s="17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</row>
    <row r="171" spans="1:112" s="27" customFormat="1" ht="12.75" customHeight="1" x14ac:dyDescent="0.2">
      <c r="A171" s="34"/>
      <c r="B171" s="17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</row>
    <row r="172" spans="1:112" s="27" customFormat="1" ht="12.75" customHeight="1" x14ac:dyDescent="0.2">
      <c r="A172" s="2"/>
      <c r="B172" s="17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</row>
    <row r="173" spans="1:112" s="27" customFormat="1" ht="12.75" customHeight="1" x14ac:dyDescent="0.2">
      <c r="A173" s="2"/>
      <c r="B173" s="17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</row>
    <row r="174" spans="1:112" s="27" customFormat="1" ht="12.75" customHeight="1" x14ac:dyDescent="0.2">
      <c r="A174" s="2"/>
      <c r="B174" s="17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</row>
    <row r="175" spans="1:112" s="27" customFormat="1" ht="12.75" customHeight="1" x14ac:dyDescent="0.2">
      <c r="A175" s="2"/>
      <c r="B175" s="17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</row>
    <row r="176" spans="1:112" s="27" customFormat="1" ht="12.75" customHeight="1" x14ac:dyDescent="0.2">
      <c r="A176" s="2"/>
      <c r="B176" s="17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</row>
    <row r="177" spans="1:112" s="27" customFormat="1" ht="12.75" customHeight="1" x14ac:dyDescent="0.2">
      <c r="A177" s="2"/>
      <c r="B177" s="17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</row>
    <row r="178" spans="1:112" s="27" customFormat="1" ht="12.75" customHeight="1" x14ac:dyDescent="0.2">
      <c r="A178" s="2"/>
      <c r="B178" s="17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</row>
    <row r="179" spans="1:112" s="27" customFormat="1" ht="12.75" customHeight="1" x14ac:dyDescent="0.2">
      <c r="A179" s="2"/>
      <c r="B179" s="17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</row>
    <row r="180" spans="1:112" s="27" customFormat="1" ht="12.75" customHeight="1" x14ac:dyDescent="0.2">
      <c r="A180" s="2"/>
      <c r="B180" s="17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</row>
    <row r="181" spans="1:112" s="27" customFormat="1" ht="12.75" customHeight="1" x14ac:dyDescent="0.2">
      <c r="A181" s="2"/>
      <c r="B181" s="17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</row>
    <row r="182" spans="1:112" s="27" customFormat="1" ht="12.75" customHeight="1" x14ac:dyDescent="0.2">
      <c r="A182" s="2"/>
      <c r="B182" s="17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</row>
    <row r="183" spans="1:112" s="27" customFormat="1" ht="12.75" customHeight="1" x14ac:dyDescent="0.2">
      <c r="A183" s="2"/>
      <c r="B183" s="17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</row>
    <row r="184" spans="1:112" s="27" customFormat="1" ht="12.75" customHeight="1" x14ac:dyDescent="0.2">
      <c r="A184" s="2"/>
      <c r="B184" s="17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</row>
    <row r="185" spans="1:112" s="27" customFormat="1" ht="12.75" customHeight="1" x14ac:dyDescent="0.2">
      <c r="A185" s="2"/>
      <c r="B185" s="17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</row>
    <row r="186" spans="1:112" s="27" customFormat="1" ht="12.75" customHeight="1" x14ac:dyDescent="0.2">
      <c r="A186" s="2"/>
      <c r="B186" s="17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</row>
    <row r="187" spans="1:112" s="27" customFormat="1" ht="12.75" customHeight="1" x14ac:dyDescent="0.2">
      <c r="A187" s="2"/>
      <c r="B187" s="17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</row>
    <row r="188" spans="1:112" s="27" customFormat="1" ht="12.75" customHeight="1" x14ac:dyDescent="0.2">
      <c r="A188" s="2"/>
      <c r="B188" s="17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</row>
    <row r="189" spans="1:112" s="27" customFormat="1" ht="12.75" customHeight="1" x14ac:dyDescent="0.2">
      <c r="A189" s="2"/>
      <c r="B189" s="17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</row>
    <row r="190" spans="1:112" s="27" customFormat="1" ht="12.75" customHeight="1" x14ac:dyDescent="0.2">
      <c r="A190" s="2"/>
      <c r="B190" s="17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</row>
    <row r="191" spans="1:112" s="27" customFormat="1" ht="12.75" customHeight="1" x14ac:dyDescent="0.2">
      <c r="A191" s="2"/>
      <c r="B191" s="17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</row>
    <row r="192" spans="1:112" s="27" customFormat="1" ht="12.75" customHeight="1" x14ac:dyDescent="0.2">
      <c r="A192" s="2"/>
      <c r="B192" s="17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</row>
    <row r="193" spans="1:112" s="27" customFormat="1" ht="12.75" customHeight="1" x14ac:dyDescent="0.2">
      <c r="A193" s="2"/>
      <c r="B193" s="17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</row>
    <row r="194" spans="1:112" s="27" customFormat="1" ht="12.75" customHeight="1" x14ac:dyDescent="0.2">
      <c r="A194" s="2"/>
      <c r="B194" s="17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</row>
    <row r="195" spans="1:112" s="27" customFormat="1" ht="12.75" customHeight="1" x14ac:dyDescent="0.2">
      <c r="A195" s="2"/>
      <c r="B195" s="17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</row>
    <row r="196" spans="1:112" s="27" customFormat="1" ht="12.75" customHeight="1" x14ac:dyDescent="0.2">
      <c r="A196" s="2"/>
      <c r="B196" s="17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</row>
    <row r="197" spans="1:112" s="27" customFormat="1" ht="12.75" customHeight="1" x14ac:dyDescent="0.2">
      <c r="A197" s="2"/>
      <c r="B197" s="17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</row>
    <row r="198" spans="1:112" s="27" customFormat="1" ht="12.75" customHeight="1" x14ac:dyDescent="0.2">
      <c r="A198" s="2"/>
      <c r="B198" s="17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</row>
    <row r="199" spans="1:112" s="27" customFormat="1" ht="12.75" customHeight="1" x14ac:dyDescent="0.2">
      <c r="A199" s="2"/>
      <c r="B199" s="17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</row>
    <row r="200" spans="1:112" s="27" customFormat="1" ht="12.75" customHeight="1" x14ac:dyDescent="0.2">
      <c r="A200" s="2"/>
      <c r="B200" s="17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</row>
    <row r="201" spans="1:112" s="27" customFormat="1" ht="12.75" customHeight="1" x14ac:dyDescent="0.2">
      <c r="A201" s="2"/>
      <c r="B201" s="17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</row>
    <row r="202" spans="1:112" s="27" customFormat="1" ht="12.75" customHeight="1" x14ac:dyDescent="0.2">
      <c r="A202" s="2"/>
      <c r="B202" s="17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</row>
    <row r="203" spans="1:112" s="27" customFormat="1" ht="12.75" customHeight="1" x14ac:dyDescent="0.2">
      <c r="A203" s="2"/>
      <c r="B203" s="17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</row>
    <row r="204" spans="1:112" s="27" customFormat="1" ht="12.75" customHeight="1" x14ac:dyDescent="0.2">
      <c r="A204" s="2"/>
      <c r="B204" s="17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</row>
    <row r="205" spans="1:112" s="27" customFormat="1" ht="12.75" customHeight="1" x14ac:dyDescent="0.2">
      <c r="A205" s="2"/>
      <c r="B205" s="17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</row>
    <row r="206" spans="1:112" s="27" customFormat="1" ht="12.75" customHeight="1" x14ac:dyDescent="0.2">
      <c r="A206" s="2"/>
      <c r="B206" s="17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</row>
    <row r="207" spans="1:112" s="27" customFormat="1" ht="12.75" customHeight="1" x14ac:dyDescent="0.2">
      <c r="A207" s="2"/>
      <c r="B207" s="17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</row>
    <row r="208" spans="1:112" s="27" customFormat="1" ht="12.75" customHeight="1" x14ac:dyDescent="0.2">
      <c r="A208" s="2"/>
      <c r="B208" s="17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</row>
    <row r="209" spans="1:112" s="27" customFormat="1" ht="12.75" customHeight="1" x14ac:dyDescent="0.2">
      <c r="A209" s="2"/>
      <c r="B209" s="17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</row>
    <row r="210" spans="1:112" s="27" customFormat="1" ht="12.75" customHeight="1" x14ac:dyDescent="0.2">
      <c r="A210" s="2"/>
      <c r="B210" s="17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</row>
    <row r="211" spans="1:112" s="27" customFormat="1" ht="12.75" customHeight="1" x14ac:dyDescent="0.2">
      <c r="A211" s="2"/>
      <c r="B211" s="17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</row>
    <row r="212" spans="1:112" s="27" customFormat="1" ht="12.75" customHeight="1" x14ac:dyDescent="0.2">
      <c r="A212" s="2"/>
      <c r="B212" s="17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</row>
    <row r="213" spans="1:112" s="27" customFormat="1" ht="12.75" customHeight="1" x14ac:dyDescent="0.2">
      <c r="A213" s="2"/>
      <c r="B213" s="17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</row>
    <row r="214" spans="1:112" s="27" customFormat="1" ht="12.75" customHeight="1" x14ac:dyDescent="0.2">
      <c r="A214" s="2"/>
      <c r="B214" s="17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</row>
    <row r="215" spans="1:112" s="27" customFormat="1" ht="12.75" customHeight="1" x14ac:dyDescent="0.2">
      <c r="A215" s="2"/>
      <c r="B215" s="17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</row>
    <row r="216" spans="1:112" s="27" customFormat="1" ht="12.75" customHeight="1" x14ac:dyDescent="0.2">
      <c r="A216" s="2"/>
      <c r="B216" s="17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</row>
    <row r="217" spans="1:112" s="27" customFormat="1" ht="12.75" customHeight="1" x14ac:dyDescent="0.2">
      <c r="A217" s="2"/>
      <c r="B217" s="17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</row>
    <row r="218" spans="1:112" s="27" customFormat="1" ht="12.75" customHeight="1" x14ac:dyDescent="0.2">
      <c r="A218" s="2"/>
      <c r="B218" s="17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</row>
    <row r="219" spans="1:112" s="27" customFormat="1" ht="12.75" customHeight="1" x14ac:dyDescent="0.2">
      <c r="A219" s="2"/>
      <c r="B219" s="17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</row>
    <row r="220" spans="1:112" s="27" customFormat="1" ht="12.75" customHeight="1" x14ac:dyDescent="0.2">
      <c r="A220" s="2"/>
      <c r="B220" s="17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</row>
    <row r="221" spans="1:112" s="27" customFormat="1" ht="12.75" customHeight="1" x14ac:dyDescent="0.2">
      <c r="A221" s="2"/>
      <c r="B221" s="17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</row>
    <row r="222" spans="1:112" s="27" customFormat="1" ht="12.75" customHeight="1" x14ac:dyDescent="0.2">
      <c r="A222" s="2"/>
      <c r="B222" s="17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</row>
    <row r="223" spans="1:112" s="27" customFormat="1" ht="12.75" customHeight="1" x14ac:dyDescent="0.2">
      <c r="A223" s="2"/>
      <c r="B223" s="17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</row>
    <row r="224" spans="1:112" s="27" customFormat="1" ht="12.75" customHeight="1" x14ac:dyDescent="0.2">
      <c r="A224" s="2"/>
      <c r="B224" s="17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</row>
    <row r="225" spans="1:112" s="27" customFormat="1" ht="12.75" customHeight="1" x14ac:dyDescent="0.2">
      <c r="A225" s="2"/>
      <c r="B225" s="17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</row>
    <row r="226" spans="1:112" s="27" customFormat="1" ht="12.75" customHeight="1" x14ac:dyDescent="0.2">
      <c r="A226" s="2"/>
      <c r="B226" s="17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</row>
    <row r="227" spans="1:112" s="27" customFormat="1" ht="12.75" customHeight="1" x14ac:dyDescent="0.2">
      <c r="A227" s="2"/>
      <c r="B227" s="17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</row>
    <row r="228" spans="1:112" s="27" customFormat="1" ht="12.75" customHeight="1" x14ac:dyDescent="0.2">
      <c r="A228" s="2"/>
      <c r="B228" s="17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</row>
    <row r="229" spans="1:112" s="27" customFormat="1" ht="12.75" customHeight="1" x14ac:dyDescent="0.2">
      <c r="A229" s="2"/>
      <c r="B229" s="17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</row>
    <row r="230" spans="1:112" s="27" customFormat="1" ht="12.75" customHeight="1" x14ac:dyDescent="0.2">
      <c r="A230" s="2"/>
      <c r="B230" s="17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</row>
    <row r="231" spans="1:112" s="27" customFormat="1" ht="12.75" customHeight="1" x14ac:dyDescent="0.2">
      <c r="A231" s="2"/>
      <c r="B231" s="17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</row>
    <row r="232" spans="1:112" s="27" customFormat="1" ht="12.75" customHeight="1" x14ac:dyDescent="0.2">
      <c r="A232" s="2"/>
      <c r="B232" s="17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</row>
    <row r="233" spans="1:112" s="27" customFormat="1" ht="12.75" customHeight="1" x14ac:dyDescent="0.2">
      <c r="A233" s="2"/>
      <c r="B233" s="17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</row>
    <row r="234" spans="1:112" s="27" customFormat="1" ht="12.75" customHeight="1" x14ac:dyDescent="0.2">
      <c r="A234" s="2"/>
      <c r="B234" s="17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</row>
    <row r="235" spans="1:112" s="27" customFormat="1" ht="12.75" customHeight="1" x14ac:dyDescent="0.2">
      <c r="A235" s="2"/>
      <c r="B235" s="17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</row>
    <row r="236" spans="1:112" s="27" customFormat="1" ht="12.75" customHeight="1" x14ac:dyDescent="0.2">
      <c r="A236" s="2"/>
      <c r="B236" s="17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</row>
    <row r="237" spans="1:112" s="27" customFormat="1" ht="12.75" customHeight="1" x14ac:dyDescent="0.2">
      <c r="A237" s="2"/>
      <c r="B237" s="17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</row>
    <row r="238" spans="1:112" s="27" customFormat="1" ht="12.75" customHeight="1" x14ac:dyDescent="0.2">
      <c r="A238" s="2"/>
      <c r="B238" s="17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</row>
    <row r="239" spans="1:112" s="27" customFormat="1" ht="12.75" customHeight="1" x14ac:dyDescent="0.2">
      <c r="A239" s="2"/>
      <c r="B239" s="17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</row>
    <row r="240" spans="1:112" s="27" customFormat="1" ht="12.75" customHeight="1" x14ac:dyDescent="0.2">
      <c r="A240" s="2"/>
      <c r="B240" s="17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</row>
    <row r="241" spans="1:112" s="27" customFormat="1" ht="12.75" customHeight="1" x14ac:dyDescent="0.2">
      <c r="A241" s="2"/>
      <c r="B241" s="17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</row>
    <row r="242" spans="1:112" s="27" customFormat="1" ht="12.75" customHeight="1" x14ac:dyDescent="0.2">
      <c r="A242" s="2"/>
      <c r="B242" s="17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</row>
    <row r="243" spans="1:112" s="27" customFormat="1" ht="12.75" customHeight="1" x14ac:dyDescent="0.2">
      <c r="A243" s="2"/>
      <c r="B243" s="17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</row>
    <row r="244" spans="1:112" s="27" customFormat="1" ht="12.75" customHeight="1" x14ac:dyDescent="0.2">
      <c r="A244" s="2"/>
      <c r="B244" s="17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</row>
    <row r="245" spans="1:112" s="27" customFormat="1" ht="12.75" customHeight="1" x14ac:dyDescent="0.2">
      <c r="A245" s="2"/>
      <c r="B245" s="17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</row>
    <row r="246" spans="1:112" s="27" customFormat="1" ht="12.75" customHeight="1" x14ac:dyDescent="0.2">
      <c r="A246" s="2"/>
      <c r="B246" s="17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</row>
    <row r="247" spans="1:112" s="27" customFormat="1" ht="12.75" customHeight="1" x14ac:dyDescent="0.2">
      <c r="A247" s="2"/>
      <c r="B247" s="17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</row>
    <row r="248" spans="1:112" s="27" customFormat="1" ht="12.75" customHeight="1" x14ac:dyDescent="0.2">
      <c r="A248" s="2"/>
      <c r="B248" s="17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</row>
    <row r="249" spans="1:112" s="27" customFormat="1" ht="12.75" customHeight="1" x14ac:dyDescent="0.2">
      <c r="A249" s="2"/>
      <c r="B249" s="17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</row>
    <row r="250" spans="1:112" s="27" customFormat="1" ht="12.75" customHeight="1" x14ac:dyDescent="0.2">
      <c r="A250" s="2"/>
      <c r="B250" s="17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</row>
    <row r="251" spans="1:112" s="27" customFormat="1" ht="12.75" customHeight="1" x14ac:dyDescent="0.2">
      <c r="A251" s="2"/>
      <c r="B251" s="17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</row>
    <row r="252" spans="1:112" s="27" customFormat="1" ht="12.75" customHeight="1" x14ac:dyDescent="0.2">
      <c r="A252" s="2"/>
      <c r="B252" s="17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</row>
    <row r="253" spans="1:112" x14ac:dyDescent="0.2">
      <c r="A253" s="2"/>
    </row>
    <row r="254" spans="1:112" x14ac:dyDescent="0.2">
      <c r="A254" s="2"/>
    </row>
    <row r="255" spans="1:112" x14ac:dyDescent="0.2">
      <c r="A255" s="2"/>
    </row>
    <row r="256" spans="1:112" x14ac:dyDescent="0.2">
      <c r="A256" s="2"/>
    </row>
    <row r="257" spans="1:1" x14ac:dyDescent="0.2">
      <c r="A257" s="2"/>
    </row>
    <row r="258" spans="1:1" x14ac:dyDescent="0.2">
      <c r="A258" s="2"/>
    </row>
    <row r="259" spans="1:1" x14ac:dyDescent="0.2">
      <c r="A259" s="2"/>
    </row>
    <row r="260" spans="1:1" x14ac:dyDescent="0.2">
      <c r="A260" s="2"/>
    </row>
    <row r="261" spans="1:1" x14ac:dyDescent="0.2">
      <c r="A261" s="2"/>
    </row>
    <row r="262" spans="1:1" x14ac:dyDescent="0.2">
      <c r="A262" s="2"/>
    </row>
    <row r="263" spans="1:1" x14ac:dyDescent="0.2">
      <c r="A263" s="2"/>
    </row>
    <row r="264" spans="1:1" x14ac:dyDescent="0.2">
      <c r="A264" s="2"/>
    </row>
    <row r="265" spans="1:1" x14ac:dyDescent="0.2">
      <c r="A265" s="2"/>
    </row>
    <row r="266" spans="1:1" x14ac:dyDescent="0.2">
      <c r="A266" s="2"/>
    </row>
    <row r="267" spans="1:1" x14ac:dyDescent="0.2">
      <c r="A267" s="2"/>
    </row>
  </sheetData>
  <mergeCells count="3">
    <mergeCell ref="A52:B52"/>
    <mergeCell ref="A51:B51"/>
    <mergeCell ref="A48:B48"/>
  </mergeCells>
  <dataValidations count="12">
    <dataValidation type="list" allowBlank="1" sqref="C66:CM66" xr:uid="{00000000-0002-0000-0200-000000000000}">
      <formula1>"да,нет,только если есть промежуточный кадр"</formula1>
    </dataValidation>
    <dataValidation type="list" allowBlank="1" sqref="C70:CM70" xr:uid="{00000000-0002-0000-0200-000001000000}">
      <formula1>"достаточно фона,нужен персонаж,нужен прошлый кадр,нужен исходный референс,нужно всё: фон + персонаж + прошлый кадр"</formula1>
    </dataValidation>
    <dataValidation type="list" allowBlank="1" sqref="C74:CM74" xr:uid="{00000000-0002-0000-0200-000002000000}">
      <formula1>"новый фон,продолжение фона,фон на основе референса,предметная сцена,интерьер,экстерьер"</formula1>
    </dataValidation>
    <dataValidation type="list" allowBlank="1" sqref="C91:CM91" xr:uid="{00000000-0002-0000-0200-000003000000}">
      <formula1>"без персонажа,новый персонаж,тот же персонаж,тот же персонаж с изменением позы,тот же персонаж с изменением эмоции,другой персонаж"</formula1>
    </dataValidation>
    <dataValidation type="list" allowBlank="1" sqref="C104:CM104" xr:uid="{00000000-0002-0000-0200-000004000000}">
      <formula1>"итоговый референс кадра,референс фона,референс персонажа,промежуточный референс,референс перехода"</formula1>
    </dataValidation>
    <dataValidation type="list" allowBlank="1" sqref="C120:CM121" xr:uid="{00000000-0002-0000-0200-000005000000}">
      <formula1>"резкая склейка,плавный переход,match cut,через движение,через предмет,через свет,из темноты,в темноту,без перехода"</formula1>
    </dataValidation>
    <dataValidation type="list" allowBlank="1" sqref="C123:CM123" xr:uid="{00000000-0002-0000-0200-000006000000}">
      <formula1>"очень медленный,медленный,средний,быстрый,резкий монтажный"</formula1>
    </dataValidation>
    <dataValidation type="list" allowBlank="1" sqref="C130:CM130" xr:uid="{00000000-0002-0000-0200-000007000000}">
      <formula1>"штатив,макро-рельс,плавный handheld,стабилизатор,лёгкая тряска,без движения"</formula1>
    </dataValidation>
    <dataValidation type="list" allowBlank="1" sqref="C155:CM155" xr:uid="{00000000-0002-0000-0200-000008000000}">
      <formula1>"черновик,готово к фото-референсу,фото утверждено,готово к видео,нужна правка,заблокировано"</formula1>
    </dataValidation>
    <dataValidation type="list" allowBlank="1" sqref="D58:CM59" xr:uid="{00000000-0002-0000-0200-000009000000}">
      <formula1>"новый основной кадр,прямое продолжение,промежуточный кадр,резкий переход,cutaway / вставка,финальный кадр сцены"</formula1>
    </dataValidation>
    <dataValidation type="list" allowBlank="1" sqref="D60:CM60" xr:uid="{00000000-0002-0000-0200-00000A000000}">
      <formula1>"не продолжение,прямое продолжение прошлого кадра,на основе исходного референса,на основе фона,на основе персонажа,новая сцена"</formula1>
    </dataValidation>
    <dataValidation type="list" allowBlank="1" sqref="D61:CM62" xr:uid="{00000000-0002-0000-0200-00000B000000}">
      <formula1>"фон + персонаж,готовый референс,прошлый кадр,только фон,только персонаж,фон + предмет, без персонажа"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workbookViewId="0"/>
  </sheetViews>
  <sheetFormatPr defaultRowHeight="12.75" x14ac:dyDescent="0.2"/>
  <cols>
    <col min="1" max="1" width="31.7109375" customWidth="1"/>
    <col min="2" max="2" width="45.7109375" style="56" customWidth="1"/>
    <col min="3" max="10" width="24" customWidth="1"/>
  </cols>
  <sheetData>
    <row r="1" spans="1:10" ht="21.95" customHeight="1" x14ac:dyDescent="0.2">
      <c r="A1" t="s">
        <v>58</v>
      </c>
      <c r="B1" s="55"/>
      <c r="C1" s="58" t="s">
        <v>59</v>
      </c>
      <c r="D1" s="58" t="s">
        <v>60</v>
      </c>
      <c r="E1" s="58" t="s">
        <v>61</v>
      </c>
      <c r="F1" s="58" t="s">
        <v>62</v>
      </c>
      <c r="G1" s="58" t="s">
        <v>63</v>
      </c>
      <c r="H1" s="58" t="s">
        <v>64</v>
      </c>
      <c r="I1" s="58" t="s">
        <v>65</v>
      </c>
      <c r="J1" s="58" t="s">
        <v>66</v>
      </c>
    </row>
    <row r="2" spans="1:10" ht="54.95" customHeight="1" x14ac:dyDescent="0.2">
      <c r="A2" t="s">
        <v>67</v>
      </c>
      <c r="C2" s="58"/>
      <c r="D2" s="58"/>
      <c r="E2" s="58"/>
      <c r="F2" s="58"/>
      <c r="G2" s="58"/>
      <c r="H2" s="58"/>
      <c r="I2" s="58"/>
      <c r="J2" s="58"/>
    </row>
    <row r="3" spans="1:10" ht="54.95" customHeight="1" x14ac:dyDescent="0.2">
      <c r="A3" t="s">
        <v>68</v>
      </c>
      <c r="C3" s="58"/>
      <c r="D3" s="58"/>
      <c r="E3" s="58"/>
      <c r="F3" s="58"/>
      <c r="G3" s="58"/>
      <c r="H3" s="58"/>
      <c r="I3" s="58"/>
      <c r="J3" s="58"/>
    </row>
    <row r="4" spans="1:10" ht="54.95" customHeight="1" x14ac:dyDescent="0.2">
      <c r="A4" s="54" t="s">
        <v>69</v>
      </c>
      <c r="C4" s="58"/>
      <c r="D4" s="58"/>
      <c r="E4" s="58"/>
      <c r="F4" s="58"/>
      <c r="G4" s="58"/>
      <c r="H4" s="58"/>
      <c r="I4" s="58"/>
      <c r="J4" s="58"/>
    </row>
    <row r="5" spans="1:10" ht="54.95" customHeight="1" x14ac:dyDescent="0.2">
      <c r="A5" t="s">
        <v>70</v>
      </c>
      <c r="C5" s="58"/>
      <c r="D5" s="58"/>
      <c r="E5" s="58"/>
      <c r="F5" s="58"/>
      <c r="G5" s="58"/>
      <c r="H5" s="58"/>
      <c r="I5" s="58"/>
      <c r="J5" s="58"/>
    </row>
    <row r="6" spans="1:10" ht="54.95" customHeight="1" x14ac:dyDescent="0.2">
      <c r="A6" t="s">
        <v>71</v>
      </c>
      <c r="C6" s="58"/>
      <c r="D6" s="58"/>
      <c r="E6" s="58"/>
      <c r="F6" s="58"/>
      <c r="G6" s="58"/>
      <c r="H6" s="58"/>
      <c r="I6" s="58"/>
      <c r="J6" s="58"/>
    </row>
    <row r="7" spans="1:10" ht="54.95" customHeight="1" x14ac:dyDescent="0.2">
      <c r="A7" t="s">
        <v>72</v>
      </c>
      <c r="C7" s="58"/>
      <c r="D7" s="58"/>
      <c r="E7" s="58"/>
      <c r="F7" s="58"/>
      <c r="G7" s="58"/>
      <c r="H7" s="58"/>
      <c r="I7" s="58"/>
      <c r="J7" s="58"/>
    </row>
    <row r="8" spans="1:10" ht="54.95" customHeight="1" x14ac:dyDescent="0.2">
      <c r="A8" t="s">
        <v>73</v>
      </c>
      <c r="C8" s="58"/>
      <c r="D8" s="58"/>
      <c r="E8" s="58"/>
      <c r="F8" s="58"/>
      <c r="G8" s="58"/>
      <c r="H8" s="58"/>
      <c r="I8" s="58"/>
      <c r="J8" s="58"/>
    </row>
    <row r="9" spans="1:10" ht="54.95" customHeight="1" x14ac:dyDescent="0.2">
      <c r="A9" t="s">
        <v>74</v>
      </c>
      <c r="C9" s="58"/>
      <c r="D9" s="58"/>
      <c r="E9" s="58"/>
      <c r="F9" s="58"/>
      <c r="G9" s="58"/>
      <c r="H9" s="58"/>
      <c r="I9" s="58"/>
      <c r="J9" s="58"/>
    </row>
    <row r="10" spans="1:10" ht="54.95" customHeight="1" x14ac:dyDescent="0.2">
      <c r="A10" t="s">
        <v>75</v>
      </c>
      <c r="C10" s="58"/>
      <c r="D10" s="58"/>
      <c r="E10" s="58"/>
      <c r="F10" s="58"/>
      <c r="G10" s="58"/>
      <c r="H10" s="58"/>
      <c r="I10" s="58"/>
      <c r="J10" s="58"/>
    </row>
    <row r="11" spans="1:10" ht="54.95" customHeight="1" x14ac:dyDescent="0.2">
      <c r="A11" t="s">
        <v>76</v>
      </c>
      <c r="C11" s="58"/>
      <c r="D11" s="58"/>
      <c r="E11" s="58"/>
      <c r="F11" s="58"/>
      <c r="G11" s="58"/>
      <c r="H11" s="58"/>
      <c r="I11" s="58"/>
      <c r="J11" s="58"/>
    </row>
    <row r="12" spans="1:10" ht="54.95" customHeight="1" x14ac:dyDescent="0.2">
      <c r="A12" t="s">
        <v>77</v>
      </c>
      <c r="C12" s="58"/>
      <c r="D12" s="58"/>
      <c r="E12" s="58"/>
      <c r="F12" s="58"/>
      <c r="G12" s="58"/>
      <c r="H12" s="58"/>
      <c r="I12" s="58"/>
      <c r="J12" s="58"/>
    </row>
    <row r="13" spans="1:10" ht="54.95" customHeight="1" x14ac:dyDescent="0.2">
      <c r="A13" t="s">
        <v>78</v>
      </c>
      <c r="C13" s="58"/>
      <c r="D13" s="58"/>
      <c r="E13" s="58"/>
      <c r="F13" s="58"/>
      <c r="G13" s="58"/>
      <c r="H13" s="58"/>
      <c r="I13" s="58"/>
      <c r="J13" s="58"/>
    </row>
    <row r="14" spans="1:10" ht="54.95" customHeight="1" x14ac:dyDescent="0.2">
      <c r="A14" s="54" t="s">
        <v>79</v>
      </c>
      <c r="C14" s="58"/>
      <c r="D14" s="58"/>
      <c r="E14" s="58"/>
      <c r="F14" s="58"/>
      <c r="G14" s="58"/>
      <c r="H14" s="58"/>
      <c r="I14" s="58"/>
      <c r="J14" s="58"/>
    </row>
    <row r="15" spans="1:10" ht="54.95" customHeight="1" x14ac:dyDescent="0.2">
      <c r="A15" t="s">
        <v>80</v>
      </c>
      <c r="C15" s="58"/>
      <c r="D15" s="58"/>
      <c r="E15" s="58"/>
      <c r="F15" s="58"/>
      <c r="G15" s="58"/>
      <c r="H15" s="58"/>
      <c r="I15" s="58"/>
      <c r="J15" s="58"/>
    </row>
    <row r="16" spans="1:10" ht="54.95" customHeight="1" x14ac:dyDescent="0.2">
      <c r="A16" s="54" t="s">
        <v>81</v>
      </c>
      <c r="C16" s="58"/>
      <c r="D16" s="58"/>
      <c r="E16" s="58"/>
      <c r="F16" s="58"/>
      <c r="G16" s="58"/>
      <c r="H16" s="58"/>
      <c r="I16" s="58"/>
      <c r="J16" s="58"/>
    </row>
    <row r="17" spans="1:10" ht="54.95" customHeight="1" x14ac:dyDescent="0.2">
      <c r="A17" s="54" t="s">
        <v>82</v>
      </c>
      <c r="C17" s="58"/>
      <c r="D17" s="58"/>
      <c r="E17" s="58"/>
      <c r="F17" s="58"/>
      <c r="G17" s="58"/>
      <c r="H17" s="58"/>
      <c r="I17" s="58"/>
      <c r="J17" s="58"/>
    </row>
    <row r="18" spans="1:10" ht="54.95" customHeight="1" x14ac:dyDescent="0.2">
      <c r="A18" s="54" t="s">
        <v>83</v>
      </c>
      <c r="C18" s="58"/>
      <c r="D18" s="58"/>
      <c r="E18" s="58"/>
      <c r="F18" s="58"/>
      <c r="G18" s="58"/>
      <c r="H18" s="58"/>
      <c r="I18" s="58"/>
      <c r="J18" s="58"/>
    </row>
    <row r="19" spans="1:10" ht="54.95" customHeight="1" x14ac:dyDescent="0.2">
      <c r="A19" s="54" t="s">
        <v>84</v>
      </c>
      <c r="C19" s="58"/>
      <c r="D19" s="58"/>
      <c r="E19" s="58"/>
      <c r="F19" s="58"/>
      <c r="G19" s="58"/>
      <c r="H19" s="58"/>
      <c r="I19" s="58"/>
      <c r="J19" s="58"/>
    </row>
    <row r="20" spans="1:10" ht="54.95" customHeight="1" x14ac:dyDescent="0.2">
      <c r="A20" s="54" t="s">
        <v>85</v>
      </c>
      <c r="C20" s="58"/>
      <c r="D20" s="58"/>
      <c r="E20" s="58"/>
      <c r="F20" s="58"/>
      <c r="G20" s="58"/>
      <c r="H20" s="58"/>
      <c r="I20" s="58"/>
      <c r="J20" s="58"/>
    </row>
    <row r="21" spans="1:10" ht="54.95" customHeight="1" x14ac:dyDescent="0.2">
      <c r="A21" s="54" t="s">
        <v>86</v>
      </c>
      <c r="C21" s="58"/>
      <c r="D21" s="58"/>
      <c r="E21" s="58"/>
      <c r="F21" s="58"/>
      <c r="G21" s="58"/>
      <c r="H21" s="58"/>
      <c r="I21" s="58"/>
      <c r="J21" s="58"/>
    </row>
    <row r="22" spans="1:10" ht="54.95" customHeight="1" x14ac:dyDescent="0.2">
      <c r="A22" s="54" t="s">
        <v>87</v>
      </c>
      <c r="C22" s="58"/>
      <c r="D22" s="58"/>
      <c r="E22" s="58"/>
      <c r="F22" s="58"/>
      <c r="G22" s="58"/>
      <c r="H22" s="58"/>
      <c r="I22" s="58"/>
      <c r="J22" s="58"/>
    </row>
    <row r="24" spans="1:10" x14ac:dyDescent="0.2">
      <c r="A24" t="s">
        <v>88</v>
      </c>
    </row>
    <row r="31" spans="1:10" x14ac:dyDescent="0.2">
      <c r="A31" s="54" t="s">
        <v>89</v>
      </c>
      <c r="B31" s="57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8"/>
  <sheetViews>
    <sheetView workbookViewId="0"/>
  </sheetViews>
  <sheetFormatPr defaultRowHeight="12.75" x14ac:dyDescent="0.2"/>
  <cols>
    <col min="1" max="1" width="24.85546875" customWidth="1"/>
  </cols>
  <sheetData>
    <row r="2" spans="1:1" x14ac:dyDescent="0.2">
      <c r="A2" t="s">
        <v>91</v>
      </c>
    </row>
    <row r="3" spans="1:1" x14ac:dyDescent="0.2">
      <c r="A3" t="s">
        <v>92</v>
      </c>
    </row>
    <row r="4" spans="1:1" x14ac:dyDescent="0.2">
      <c r="A4" t="s">
        <v>93</v>
      </c>
    </row>
    <row r="5" spans="1:1" x14ac:dyDescent="0.2">
      <c r="A5" t="s">
        <v>94</v>
      </c>
    </row>
    <row r="6" spans="1:1" x14ac:dyDescent="0.2">
      <c r="A6" t="s">
        <v>95</v>
      </c>
    </row>
    <row r="7" spans="1:1" x14ac:dyDescent="0.2">
      <c r="A7" t="s">
        <v>96</v>
      </c>
    </row>
    <row r="8" spans="1:1" x14ac:dyDescent="0.2">
      <c r="A8" t="s">
        <v>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0"/>
  <sheetViews>
    <sheetView workbookViewId="0"/>
  </sheetViews>
  <sheetFormatPr defaultRowHeight="12.75" x14ac:dyDescent="0.2"/>
  <cols>
    <col min="1" max="1" width="46.28515625" customWidth="1"/>
    <col min="2" max="6" width="26" customWidth="1"/>
    <col min="7" max="86" width="55.140625" customWidth="1"/>
  </cols>
  <sheetData>
    <row r="1" spans="1:6" ht="21.95" customHeight="1" x14ac:dyDescent="0.2">
      <c r="A1" t="s">
        <v>98</v>
      </c>
      <c r="B1" s="58" t="s">
        <v>99</v>
      </c>
      <c r="C1" s="58" t="s">
        <v>100</v>
      </c>
      <c r="D1" s="58" t="s">
        <v>101</v>
      </c>
      <c r="E1" s="58" t="s">
        <v>102</v>
      </c>
      <c r="F1" s="58" t="s">
        <v>103</v>
      </c>
    </row>
    <row r="2" spans="1:6" ht="60" customHeight="1" x14ac:dyDescent="0.2">
      <c r="A2" t="s">
        <v>104</v>
      </c>
      <c r="B2" s="58"/>
      <c r="C2" s="58"/>
      <c r="D2" s="58"/>
      <c r="E2" s="58"/>
      <c r="F2" s="58"/>
    </row>
    <row r="3" spans="1:6" ht="60" customHeight="1" x14ac:dyDescent="0.2">
      <c r="A3" t="s">
        <v>105</v>
      </c>
      <c r="B3" s="58"/>
      <c r="C3" s="58"/>
      <c r="D3" s="58"/>
      <c r="E3" s="58"/>
      <c r="F3" s="58"/>
    </row>
    <row r="4" spans="1:6" ht="60" customHeight="1" x14ac:dyDescent="0.2">
      <c r="A4" t="s">
        <v>106</v>
      </c>
      <c r="B4" s="58"/>
      <c r="C4" s="58"/>
      <c r="D4" s="58"/>
      <c r="E4" s="58"/>
      <c r="F4" s="58"/>
    </row>
    <row r="5" spans="1:6" ht="60" customHeight="1" x14ac:dyDescent="0.2">
      <c r="A5" t="s">
        <v>107</v>
      </c>
      <c r="B5" s="58"/>
      <c r="C5" s="58"/>
      <c r="D5" s="58"/>
      <c r="E5" s="58"/>
      <c r="F5" s="58"/>
    </row>
    <row r="6" spans="1:6" ht="60" customHeight="1" x14ac:dyDescent="0.2">
      <c r="A6" t="s">
        <v>108</v>
      </c>
      <c r="B6" s="58"/>
      <c r="C6" s="58"/>
      <c r="D6" s="58"/>
      <c r="E6" s="58"/>
      <c r="F6" s="58"/>
    </row>
    <row r="7" spans="1:6" ht="60" customHeight="1" x14ac:dyDescent="0.2">
      <c r="A7" t="s">
        <v>97</v>
      </c>
      <c r="B7" s="58"/>
      <c r="C7" s="58"/>
      <c r="D7" s="58"/>
      <c r="E7" s="58"/>
      <c r="F7" s="58"/>
    </row>
    <row r="8" spans="1:6" ht="60" customHeight="1" x14ac:dyDescent="0.2">
      <c r="B8" s="58"/>
      <c r="C8" s="58"/>
      <c r="D8" s="58"/>
      <c r="E8" s="58"/>
      <c r="F8" s="58"/>
    </row>
    <row r="9" spans="1:6" ht="60" customHeight="1" x14ac:dyDescent="0.2">
      <c r="B9" s="58"/>
      <c r="C9" s="58"/>
      <c r="D9" s="58"/>
      <c r="E9" s="58"/>
      <c r="F9" s="58"/>
    </row>
    <row r="20" spans="1:1" x14ac:dyDescent="0.2">
      <c r="A20" s="54" t="s">
        <v>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00"/>
  <sheetViews>
    <sheetView workbookViewId="0"/>
  </sheetViews>
  <sheetFormatPr defaultColWidth="14.42578125" defaultRowHeight="12.75" x14ac:dyDescent="0.2"/>
  <cols>
    <col min="1" max="6" width="12.5703125" style="27" customWidth="1"/>
  </cols>
  <sheetData>
    <row r="1" spans="1:11" s="27" customFormat="1" ht="12.75" customHeight="1" x14ac:dyDescent="0.2">
      <c r="A1" s="6" t="s">
        <v>110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s="27" customFormat="1" ht="15.75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s="27" customFormat="1" ht="12.75" customHeight="1" x14ac:dyDescent="0.2">
      <c r="A3" s="6" t="s">
        <v>111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s="27" customFormat="1" ht="15.75" customHeight="1" x14ac:dyDescent="0.2">
      <c r="A4" s="6" t="s">
        <v>112</v>
      </c>
      <c r="B4" s="2"/>
      <c r="C4" s="18"/>
      <c r="D4" s="2"/>
      <c r="E4" s="2"/>
      <c r="F4" s="2"/>
      <c r="G4" s="2"/>
      <c r="H4" s="2"/>
      <c r="I4" s="2"/>
      <c r="J4" s="2"/>
      <c r="K4" s="2"/>
    </row>
    <row r="5" spans="1:11" s="27" customFormat="1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s="27" customFormat="1" ht="12.75" customHeight="1" x14ac:dyDescent="0.2">
      <c r="A6" s="6" t="s">
        <v>113</v>
      </c>
      <c r="B6" s="2"/>
      <c r="C6" s="22"/>
      <c r="D6" s="2"/>
      <c r="E6" s="2"/>
      <c r="F6" s="2"/>
      <c r="G6" s="2"/>
      <c r="H6" s="2"/>
      <c r="I6" s="2"/>
      <c r="J6" s="2"/>
      <c r="K6" s="2"/>
    </row>
    <row r="7" spans="1:11" s="27" customFormat="1" ht="15.75" customHeight="1" x14ac:dyDescent="0.2">
      <c r="A7" s="6" t="s">
        <v>114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s="27" customFormat="1" ht="12.75" customHeight="1" x14ac:dyDescent="0.2">
      <c r="A8" s="2"/>
      <c r="B8" s="2"/>
      <c r="C8" s="18"/>
      <c r="D8" s="2"/>
      <c r="E8" s="2"/>
      <c r="F8" s="2"/>
      <c r="G8" s="2"/>
      <c r="H8" s="2"/>
      <c r="I8" s="2"/>
      <c r="J8" s="2"/>
      <c r="K8" s="2"/>
    </row>
    <row r="9" spans="1:11" s="27" customFormat="1" ht="15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s="27" customFormat="1" ht="12.75" customHeight="1" x14ac:dyDescent="0.2">
      <c r="A10" s="23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s="27" customFormat="1" ht="12.75" customHeight="1" x14ac:dyDescent="0.2">
      <c r="A11" s="23" t="s">
        <v>115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s="27" customFormat="1" ht="12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s="27" customFormat="1" ht="12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s="27" customFormat="1" ht="12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s="27" customFormat="1" ht="12.75" customHeight="1" x14ac:dyDescent="0.2">
      <c r="A15" s="6" t="s">
        <v>116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s="27" customFormat="1" ht="12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s="27" customFormat="1" ht="15.75" customHeight="1" x14ac:dyDescent="0.2">
      <c r="A17" s="6" t="s">
        <v>117</v>
      </c>
      <c r="B17" s="2"/>
      <c r="C17" s="18"/>
      <c r="D17" s="2"/>
      <c r="E17" s="2"/>
      <c r="F17" s="2"/>
      <c r="G17" s="2"/>
      <c r="H17" s="2"/>
      <c r="I17" s="2"/>
      <c r="J17" s="2"/>
      <c r="K17" s="2"/>
    </row>
    <row r="18" spans="1:11" s="27" customFormat="1" ht="12.75" customHeight="1" x14ac:dyDescent="0.2">
      <c r="A18" s="6" t="s">
        <v>118</v>
      </c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s="27" customFormat="1" ht="15.75" customHeight="1" x14ac:dyDescent="0.2">
      <c r="A19" s="6" t="s">
        <v>119</v>
      </c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s="27" customFormat="1" ht="12.75" customHeight="1" x14ac:dyDescent="0.2">
      <c r="A20" s="6" t="s">
        <v>120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s="27" customFormat="1" ht="15.75" customHeight="1" x14ac:dyDescent="0.2">
      <c r="A21" s="6" t="s">
        <v>121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s="27" customFormat="1" ht="12.75" customHeight="1" x14ac:dyDescent="0.2">
      <c r="A22" s="6" t="s">
        <v>122</v>
      </c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s="27" customFormat="1" ht="15.75" customHeight="1" x14ac:dyDescent="0.2">
      <c r="A23" s="6" t="s">
        <v>123</v>
      </c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s="27" customFormat="1" ht="12.75" customHeight="1" x14ac:dyDescent="0.2">
      <c r="A24" s="6" t="s">
        <v>124</v>
      </c>
      <c r="B24" s="2"/>
      <c r="C24" s="22"/>
      <c r="D24" s="2"/>
      <c r="E24" s="2"/>
      <c r="F24" s="2"/>
      <c r="G24" s="2"/>
      <c r="H24" s="2"/>
      <c r="I24" s="2"/>
      <c r="J24" s="2"/>
      <c r="K24" s="2"/>
    </row>
    <row r="25" spans="1:11" s="27" customFormat="1" ht="12.75" customHeight="1" x14ac:dyDescent="0.2">
      <c r="A25" s="6" t="s">
        <v>125</v>
      </c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s="27" customFormat="1" ht="12.75" customHeight="1" x14ac:dyDescent="0.2">
      <c r="A26" s="6" t="s">
        <v>126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s="27" customFormat="1" ht="12.75" customHeight="1" x14ac:dyDescent="0.2">
      <c r="A27" s="2"/>
      <c r="B27" s="2"/>
      <c r="C27" s="22"/>
      <c r="D27" s="2"/>
      <c r="E27" s="2"/>
      <c r="F27" s="2"/>
      <c r="G27" s="2"/>
      <c r="H27" s="2"/>
      <c r="I27" s="2"/>
      <c r="J27" s="2"/>
      <c r="K27" s="2"/>
    </row>
    <row r="28" spans="1:11" s="27" customFormat="1" ht="12.75" customHeight="1" x14ac:dyDescent="0.2">
      <c r="A28" s="6" t="s">
        <v>127</v>
      </c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s="27" customFormat="1" ht="15.75" customHeight="1" x14ac:dyDescent="0.2">
      <c r="A29" s="6" t="s">
        <v>128</v>
      </c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s="27" customFormat="1" ht="12.75" customHeight="1" x14ac:dyDescent="0.2">
      <c r="A30" s="6" t="s">
        <v>129</v>
      </c>
      <c r="B30" s="2"/>
      <c r="C30" s="22"/>
      <c r="D30" s="2"/>
      <c r="E30" s="2"/>
      <c r="F30" s="2"/>
      <c r="G30" s="2"/>
      <c r="H30" s="2"/>
      <c r="I30" s="2"/>
      <c r="J30" s="2"/>
      <c r="K30" s="2"/>
    </row>
    <row r="31" spans="1:11" s="27" customFormat="1" ht="15.75" customHeight="1" x14ac:dyDescent="0.2">
      <c r="A31" s="6" t="s">
        <v>130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s="27" customFormat="1" ht="15.75" customHeight="1" x14ac:dyDescent="0.2">
      <c r="A32" s="6" t="s">
        <v>131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s="27" customFormat="1" ht="15.75" customHeight="1" x14ac:dyDescent="0.2">
      <c r="A33" s="6" t="s">
        <v>132</v>
      </c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s="27" customFormat="1" ht="15.75" customHeight="1" x14ac:dyDescent="0.2">
      <c r="A34" s="6" t="s">
        <v>133</v>
      </c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s="27" customFormat="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s="27" customFormat="1" ht="15.75" customHeight="1" x14ac:dyDescent="0.2">
      <c r="A36" s="6" t="s">
        <v>134</v>
      </c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s="27" customFormat="1" ht="15.75" customHeight="1" x14ac:dyDescent="0.2">
      <c r="A37" s="6" t="s">
        <v>135</v>
      </c>
      <c r="B37" s="2"/>
      <c r="C37" s="18"/>
      <c r="D37" s="18"/>
      <c r="E37" s="2"/>
      <c r="F37" s="2"/>
      <c r="G37" s="2"/>
      <c r="H37" s="2"/>
      <c r="I37" s="2"/>
      <c r="J37" s="2"/>
      <c r="K37" s="2"/>
    </row>
    <row r="38" spans="1:11" s="27" customFormat="1" ht="15.75" customHeight="1" x14ac:dyDescent="0.2">
      <c r="A38" s="6" t="s">
        <v>136</v>
      </c>
      <c r="B38" s="2"/>
      <c r="C38" s="18"/>
      <c r="D38" s="2"/>
      <c r="E38" s="2"/>
      <c r="F38" s="2"/>
      <c r="G38" s="2"/>
      <c r="H38" s="2"/>
      <c r="I38" s="2"/>
      <c r="J38" s="2"/>
      <c r="K38" s="2"/>
    </row>
    <row r="39" spans="1:11" s="27" customFormat="1" ht="15.75" customHeight="1" x14ac:dyDescent="0.2">
      <c r="A39" s="6" t="s">
        <v>137</v>
      </c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s="27" customFormat="1" ht="15.75" customHeight="1" x14ac:dyDescent="0.2">
      <c r="A40" s="6" t="s">
        <v>138</v>
      </c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s="27" customFormat="1" ht="15.75" customHeight="1" x14ac:dyDescent="0.2">
      <c r="A41" s="6" t="s">
        <v>139</v>
      </c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s="27" customFormat="1" ht="15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s="27" customFormat="1" ht="15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s="27" customFormat="1" ht="15.75" customHeight="1" x14ac:dyDescent="0.2">
      <c r="A44" s="23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s="27" customFormat="1" ht="15.75" customHeight="1" x14ac:dyDescent="0.2">
      <c r="A45" s="23" t="s">
        <v>140</v>
      </c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s="27" customFormat="1" ht="15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s="27" customFormat="1" ht="15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s="27" customFormat="1" ht="15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s="27" customFormat="1" ht="15.75" customHeight="1" x14ac:dyDescent="0.2">
      <c r="A49" s="6" t="s">
        <v>141</v>
      </c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s="27" customFormat="1" ht="15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s="27" customFormat="1" ht="15.75" customHeight="1" x14ac:dyDescent="0.2">
      <c r="A51" s="6" t="s">
        <v>142</v>
      </c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s="27" customFormat="1" ht="15.75" customHeight="1" x14ac:dyDescent="0.2">
      <c r="A52" s="6" t="s">
        <v>143</v>
      </c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s="27" customFormat="1" ht="15.75" customHeight="1" x14ac:dyDescent="0.2">
      <c r="A53" s="6" t="s">
        <v>144</v>
      </c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s="27" customFormat="1" ht="15.75" customHeight="1" x14ac:dyDescent="0.2">
      <c r="A54" s="6" t="s">
        <v>145</v>
      </c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s="27" customFormat="1" ht="15.75" customHeight="1" x14ac:dyDescent="0.2">
      <c r="A55" s="6" t="s">
        <v>146</v>
      </c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s="27" customFormat="1" ht="15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s="27" customFormat="1" ht="15.75" customHeight="1" x14ac:dyDescent="0.2">
      <c r="A57" s="6" t="s">
        <v>147</v>
      </c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s="27" customFormat="1" ht="15.75" customHeight="1" x14ac:dyDescent="0.2">
      <c r="A58" s="6" t="s">
        <v>148</v>
      </c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s="27" customFormat="1" ht="15.75" customHeight="1" x14ac:dyDescent="0.2">
      <c r="A59" s="6" t="s">
        <v>149</v>
      </c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s="27" customFormat="1" ht="15.75" customHeight="1" x14ac:dyDescent="0.2">
      <c r="A60" s="6" t="s">
        <v>150</v>
      </c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s="27" customFormat="1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s="27" customFormat="1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s="27" customFormat="1" ht="15.75" customHeight="1" x14ac:dyDescent="0.2">
      <c r="A63" s="23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s="27" customFormat="1" ht="15.75" customHeight="1" x14ac:dyDescent="0.2">
      <c r="A64" s="23" t="s">
        <v>151</v>
      </c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s="27" customFormat="1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s="27" customFormat="1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s="27" customFormat="1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s="27" customFormat="1" ht="15.75" customHeight="1" x14ac:dyDescent="0.2">
      <c r="A68" s="6" t="s">
        <v>152</v>
      </c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s="27" customFormat="1" ht="15.75" customHeight="1" x14ac:dyDescent="0.2">
      <c r="A69" s="6" t="s">
        <v>153</v>
      </c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s="27" customFormat="1" ht="15.75" customHeight="1" x14ac:dyDescent="0.2">
      <c r="A70" s="6" t="s">
        <v>154</v>
      </c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s="27" customFormat="1" ht="15.75" customHeight="1" x14ac:dyDescent="0.2">
      <c r="A71" s="6" t="s">
        <v>155</v>
      </c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s="27" customFormat="1" ht="15.75" customHeight="1" x14ac:dyDescent="0.2">
      <c r="A72" s="6" t="s">
        <v>156</v>
      </c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s="27" customFormat="1" ht="15.75" customHeight="1" x14ac:dyDescent="0.2">
      <c r="A73" s="6" t="s">
        <v>157</v>
      </c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s="27" customFormat="1" ht="15.75" customHeight="1" x14ac:dyDescent="0.2">
      <c r="A74" s="6" t="s">
        <v>158</v>
      </c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s="27" customFormat="1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s="27" customFormat="1" ht="15.75" customHeight="1" x14ac:dyDescent="0.2">
      <c r="A76" s="6" t="s">
        <v>159</v>
      </c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s="27" customFormat="1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s="27" customFormat="1" ht="15.75" customHeight="1" x14ac:dyDescent="0.2">
      <c r="A78" s="6" t="s">
        <v>160</v>
      </c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s="27" customFormat="1" ht="15.75" customHeight="1" x14ac:dyDescent="0.2">
      <c r="A79" s="6" t="s">
        <v>161</v>
      </c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s="27" customFormat="1" ht="15.75" customHeight="1" x14ac:dyDescent="0.2">
      <c r="A80" s="6" t="s">
        <v>162</v>
      </c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s="27" customFormat="1" ht="15.75" customHeight="1" x14ac:dyDescent="0.2">
      <c r="A81" s="6" t="s">
        <v>163</v>
      </c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s="27" customFormat="1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s="27" customFormat="1" ht="15.75" customHeight="1" x14ac:dyDescent="0.2">
      <c r="A83" s="6" t="s">
        <v>164</v>
      </c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s="27" customFormat="1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s="27" customFormat="1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s="27" customFormat="1" ht="15.75" customHeight="1" x14ac:dyDescent="0.2">
      <c r="A86" s="23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s="27" customFormat="1" ht="15.75" customHeight="1" x14ac:dyDescent="0.2">
      <c r="A87" s="23" t="s">
        <v>165</v>
      </c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s="27" customFormat="1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s="27" customFormat="1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s="27" customFormat="1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s="27" customFormat="1" ht="15.75" customHeight="1" x14ac:dyDescent="0.2">
      <c r="A91" s="6" t="s">
        <v>166</v>
      </c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s="27" customFormat="1" ht="15.75" customHeight="1" x14ac:dyDescent="0.2">
      <c r="A92" s="6" t="s">
        <v>167</v>
      </c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s="27" customFormat="1" ht="15.75" customHeight="1" x14ac:dyDescent="0.2">
      <c r="A93" s="6" t="s">
        <v>168</v>
      </c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s="27" customFormat="1" ht="15.75" customHeight="1" x14ac:dyDescent="0.2">
      <c r="A94" s="6" t="s">
        <v>169</v>
      </c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s="27" customFormat="1" ht="15.75" customHeight="1" x14ac:dyDescent="0.2">
      <c r="A95" s="6" t="s">
        <v>170</v>
      </c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s="27" customFormat="1" ht="15.75" customHeight="1" x14ac:dyDescent="0.2">
      <c r="A96" s="6" t="s">
        <v>171</v>
      </c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s="27" customFormat="1" ht="15.75" customHeight="1" x14ac:dyDescent="0.2">
      <c r="A97" s="6" t="s">
        <v>172</v>
      </c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s="27" customFormat="1" ht="15.75" customHeight="1" x14ac:dyDescent="0.2">
      <c r="A98" s="6" t="s">
        <v>173</v>
      </c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s="27" customFormat="1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s="27" customFormat="1" ht="15.75" customHeight="1" x14ac:dyDescent="0.2">
      <c r="A100" s="6" t="s">
        <v>174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s="27" customFormat="1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s="27" customFormat="1" ht="12.75" customHeight="1" x14ac:dyDescent="0.2">
      <c r="A102" s="6" t="s">
        <v>175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s="27" customFormat="1" ht="12.75" customHeight="1" x14ac:dyDescent="0.2">
      <c r="A103" s="23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s="27" customFormat="1" ht="12.75" customHeight="1" x14ac:dyDescent="0.2">
      <c r="A104" s="23" t="s">
        <v>176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s="27" customFormat="1" ht="12.75" customHeight="1" x14ac:dyDescent="0.2">
      <c r="A105" s="23" t="s">
        <v>177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s="27" customFormat="1" ht="12.75" customHeight="1" x14ac:dyDescent="0.2">
      <c r="A106" s="23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s="27" customFormat="1" ht="12.75" customHeight="1" x14ac:dyDescent="0.2">
      <c r="A107" s="23" t="s">
        <v>178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s="27" customFormat="1" ht="12.75" customHeight="1" x14ac:dyDescent="0.2">
      <c r="A108" s="23" t="s">
        <v>179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s="27" customFormat="1" ht="12.75" customHeight="1" x14ac:dyDescent="0.2">
      <c r="A109" s="23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s="27" customFormat="1" ht="12.75" customHeight="1" x14ac:dyDescent="0.2">
      <c r="A110" s="23" t="s">
        <v>180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s="27" customFormat="1" ht="12.75" customHeight="1" x14ac:dyDescent="0.2">
      <c r="A111" s="23" t="s">
        <v>181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s="27" customFormat="1" ht="12.75" customHeight="1" x14ac:dyDescent="0.2">
      <c r="A112" s="23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s="27" customFormat="1" ht="12.75" customHeight="1" x14ac:dyDescent="0.2">
      <c r="A113" s="23" t="s">
        <v>182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s="27" customFormat="1" ht="12.75" customHeight="1" x14ac:dyDescent="0.2">
      <c r="A114" s="23" t="s">
        <v>183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s="27" customFormat="1" ht="12.75" customHeight="1" x14ac:dyDescent="0.2">
      <c r="A115" s="23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s="27" customFormat="1" ht="12.75" customHeight="1" x14ac:dyDescent="0.2">
      <c r="A116" s="23" t="s">
        <v>184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s="27" customFormat="1" ht="12.75" customHeight="1" x14ac:dyDescent="0.2">
      <c r="A117" s="23" t="s">
        <v>185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s="27" customFormat="1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s="27" customFormat="1" ht="12.75" customHeight="1" x14ac:dyDescent="0.2">
      <c r="A119" s="6" t="s">
        <v>186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s="27" customFormat="1" ht="12.75" customHeight="1" x14ac:dyDescent="0.2">
      <c r="A120" s="6" t="s">
        <v>187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s="27" customFormat="1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s="27" customFormat="1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s="27" customFormat="1" ht="12.75" customHeight="1" x14ac:dyDescent="0.2">
      <c r="A123" s="23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s="27" customFormat="1" ht="12.75" customHeight="1" x14ac:dyDescent="0.2">
      <c r="A124" s="23" t="s">
        <v>188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s="27" customFormat="1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s="27" customFormat="1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s="27" customFormat="1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s="27" customFormat="1" ht="12.75" customHeight="1" x14ac:dyDescent="0.2">
      <c r="A128" s="6" t="s">
        <v>189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s="27" customFormat="1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s="27" customFormat="1" ht="12.75" customHeight="1" x14ac:dyDescent="0.2">
      <c r="A130" s="6" t="s">
        <v>190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s="27" customFormat="1" ht="12.75" customHeight="1" x14ac:dyDescent="0.2">
      <c r="A131" s="6" t="s">
        <v>191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s="27" customFormat="1" ht="12.75" customHeight="1" x14ac:dyDescent="0.2">
      <c r="A132" s="6" t="s">
        <v>192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s="27" customFormat="1" ht="12.75" customHeight="1" x14ac:dyDescent="0.2">
      <c r="A133" s="6" t="s">
        <v>193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s="27" customFormat="1" ht="12.75" customHeight="1" x14ac:dyDescent="0.2">
      <c r="A134" s="6" t="s">
        <v>194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s="27" customFormat="1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s="27" customFormat="1" ht="12.75" customHeight="1" x14ac:dyDescent="0.2">
      <c r="A136" s="6" t="s">
        <v>127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s="27" customFormat="1" ht="12.75" customHeight="1" x14ac:dyDescent="0.2">
      <c r="A137" s="6" t="s">
        <v>195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s="27" customFormat="1" ht="12.75" customHeight="1" x14ac:dyDescent="0.2">
      <c r="A138" s="6" t="s">
        <v>196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s="27" customFormat="1" ht="12.75" customHeight="1" x14ac:dyDescent="0.2">
      <c r="A139" s="6" t="s">
        <v>197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s="27" customFormat="1" ht="12.75" customHeight="1" x14ac:dyDescent="0.2">
      <c r="A140" s="6" t="s">
        <v>198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s="27" customFormat="1" ht="12.75" customHeight="1" x14ac:dyDescent="0.2">
      <c r="A141" s="6" t="s">
        <v>199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s="27" customFormat="1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s="27" customFormat="1" ht="12.75" customHeight="1" x14ac:dyDescent="0.2">
      <c r="A143" s="6" t="s">
        <v>200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s="27" customFormat="1" ht="12.75" customHeight="1" x14ac:dyDescent="0.2">
      <c r="A144" s="6" t="s">
        <v>201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s="27" customFormat="1" ht="12.75" customHeight="1" x14ac:dyDescent="0.2">
      <c r="A145" s="6" t="s">
        <v>202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s="27" customFormat="1" ht="12.75" customHeight="1" x14ac:dyDescent="0.2">
      <c r="A146" s="6" t="s">
        <v>203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s="27" customFormat="1" ht="12.75" customHeight="1" x14ac:dyDescent="0.2">
      <c r="A147" s="6" t="s">
        <v>204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s="27" customFormat="1" ht="12.75" customHeight="1" x14ac:dyDescent="0.2">
      <c r="A148" s="6" t="s">
        <v>205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s="27" customFormat="1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s="27" customFormat="1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s="27" customFormat="1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s="27" customFormat="1" ht="23.25" customHeight="1" x14ac:dyDescent="0.2">
      <c r="A152" s="24" t="s">
        <v>206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s="27" customFormat="1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s="27" customFormat="1" ht="12.75" customHeight="1" x14ac:dyDescent="0.2">
      <c r="A154" s="6" t="s">
        <v>207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s="27" customFormat="1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s="27" customFormat="1" ht="12.75" customHeight="1" x14ac:dyDescent="0.2">
      <c r="A156" s="6" t="s">
        <v>208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s="27" customFormat="1" ht="12.75" customHeight="1" x14ac:dyDescent="0.2">
      <c r="A157" s="6" t="s">
        <v>209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s="27" customFormat="1" ht="12.75" customHeight="1" x14ac:dyDescent="0.2">
      <c r="A158" s="6" t="s">
        <v>210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s="27" customFormat="1" ht="12.75" customHeight="1" x14ac:dyDescent="0.2">
      <c r="A159" s="6" t="s">
        <v>211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s="27" customFormat="1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s="27" customFormat="1" ht="12.75" customHeight="1" x14ac:dyDescent="0.2">
      <c r="A161" s="6" t="s">
        <v>212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s="27" customFormat="1" ht="12.75" customHeight="1" x14ac:dyDescent="0.2">
      <c r="A162" s="6" t="s">
        <v>213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s="27" customFormat="1" ht="12.75" customHeight="1" x14ac:dyDescent="0.2">
      <c r="A163" s="6" t="s">
        <v>214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s="27" customFormat="1" ht="12.75" customHeight="1" x14ac:dyDescent="0.2">
      <c r="A164" s="6" t="s">
        <v>215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s="27" customFormat="1" ht="12.75" customHeight="1" x14ac:dyDescent="0.2">
      <c r="A165" s="6" t="s">
        <v>216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s="27" customFormat="1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s="27" customFormat="1" ht="12.75" customHeight="1" x14ac:dyDescent="0.2">
      <c r="A167" s="6" t="s">
        <v>217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s="27" customFormat="1" ht="12.75" customHeight="1" x14ac:dyDescent="0.2">
      <c r="A168" s="6" t="s">
        <v>218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s="27" customFormat="1" ht="12.75" customHeight="1" x14ac:dyDescent="0.2">
      <c r="A169" s="6" t="s">
        <v>219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s="27" customFormat="1" ht="12.75" customHeight="1" x14ac:dyDescent="0.2">
      <c r="A170" s="6" t="s">
        <v>220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s="27" customFormat="1" ht="12.75" customHeight="1" x14ac:dyDescent="0.2">
      <c r="A171" s="6" t="s">
        <v>221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s="27" customFormat="1" ht="12.75" customHeight="1" x14ac:dyDescent="0.2">
      <c r="A172" s="6" t="s">
        <v>222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s="27" customFormat="1" ht="12.75" customHeight="1" x14ac:dyDescent="0.2">
      <c r="A173" s="6" t="s">
        <v>223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s="27" customFormat="1" ht="12.75" customHeight="1" x14ac:dyDescent="0.2">
      <c r="A174" s="6" t="s">
        <v>224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s="27" customFormat="1" ht="12.75" customHeight="1" x14ac:dyDescent="0.2">
      <c r="A175" s="6" t="s">
        <v>225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s="27" customFormat="1" ht="12.75" customHeight="1" x14ac:dyDescent="0.2">
      <c r="A176" s="6" t="s">
        <v>226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s="27" customFormat="1" ht="12.75" customHeight="1" x14ac:dyDescent="0.2">
      <c r="A177" s="6" t="s">
        <v>227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s="27" customFormat="1" ht="12.75" customHeight="1" x14ac:dyDescent="0.2">
      <c r="A178" s="6" t="s">
        <v>228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s="27" customFormat="1" ht="12.75" customHeight="1" x14ac:dyDescent="0.2">
      <c r="A179" s="6" t="s">
        <v>229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s="27" customFormat="1" ht="12.75" customHeight="1" x14ac:dyDescent="0.2">
      <c r="A180" s="6" t="s">
        <v>230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s="27" customFormat="1" ht="12.75" customHeight="1" x14ac:dyDescent="0.2">
      <c r="A181" s="6" t="s">
        <v>231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s="27" customFormat="1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s="27" customFormat="1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s="27" customFormat="1" ht="12.75" customHeight="1" x14ac:dyDescent="0.2">
      <c r="A184" s="23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s="27" customFormat="1" ht="12.75" customHeight="1" x14ac:dyDescent="0.2">
      <c r="A185" s="23" t="s">
        <v>232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s="27" customFormat="1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s="27" customFormat="1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s="27" customFormat="1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s="27" customFormat="1" ht="12.75" customHeight="1" x14ac:dyDescent="0.2">
      <c r="A189" s="6" t="s">
        <v>233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s="27" customFormat="1" ht="12.75" customHeight="1" x14ac:dyDescent="0.2">
      <c r="A190" s="6" t="s">
        <v>234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s="27" customFormat="1" ht="12.75" customHeight="1" x14ac:dyDescent="0.2">
      <c r="A191" s="6" t="s">
        <v>235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s="27" customFormat="1" ht="12.75" customHeight="1" x14ac:dyDescent="0.2">
      <c r="A192" s="6" t="s">
        <v>236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s="27" customFormat="1" ht="12.75" customHeight="1" x14ac:dyDescent="0.2">
      <c r="A193" s="6" t="s">
        <v>237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s="27" customFormat="1" ht="12.75" customHeight="1" x14ac:dyDescent="0.2">
      <c r="A194" s="6" t="s">
        <v>238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s="27" customFormat="1" ht="12.75" customHeight="1" x14ac:dyDescent="0.2">
      <c r="A195" s="6" t="s">
        <v>239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s="27" customFormat="1" ht="12.75" customHeight="1" x14ac:dyDescent="0.2">
      <c r="A196" s="6" t="s">
        <v>240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s="27" customFormat="1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s="27" customFormat="1" ht="12.75" customHeight="1" x14ac:dyDescent="0.2">
      <c r="A198" s="6" t="s">
        <v>241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s="27" customFormat="1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s="27" customFormat="1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s="27" customFormat="1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s="27" customFormat="1" ht="23.25" customHeight="1" x14ac:dyDescent="0.2">
      <c r="A202" s="24" t="s">
        <v>242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s="27" customFormat="1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s="27" customFormat="1" ht="12.75" customHeight="1" x14ac:dyDescent="0.2">
      <c r="A204" s="6" t="s">
        <v>243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s="27" customFormat="1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s="27" customFormat="1" ht="12.75" customHeight="1" x14ac:dyDescent="0.2">
      <c r="A206" s="6" t="s">
        <v>244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s="27" customFormat="1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s="27" customFormat="1" ht="12.75" customHeight="1" x14ac:dyDescent="0.2">
      <c r="A208" s="6" t="s">
        <v>147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s="27" customFormat="1" ht="12.75" customHeight="1" x14ac:dyDescent="0.2">
      <c r="A209" s="6" t="s">
        <v>245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s="27" customFormat="1" ht="12.75" customHeight="1" x14ac:dyDescent="0.2">
      <c r="A210" s="6" t="s">
        <v>246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s="27" customFormat="1" ht="12.75" customHeight="1" x14ac:dyDescent="0.2">
      <c r="A211" s="6" t="s">
        <v>247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s="27" customFormat="1" ht="12.75" customHeight="1" x14ac:dyDescent="0.2">
      <c r="A212" s="6" t="s">
        <v>248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s="27" customFormat="1" ht="12.75" customHeight="1" x14ac:dyDescent="0.2">
      <c r="A213" s="6" t="s">
        <v>249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s="27" customFormat="1" ht="12.75" customHeight="1" x14ac:dyDescent="0.2">
      <c r="A214" s="6" t="s">
        <v>250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s="27" customFormat="1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s="27" customFormat="1" ht="12.75" customHeight="1" x14ac:dyDescent="0.2">
      <c r="A216" s="6" t="s">
        <v>127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s="27" customFormat="1" ht="12.75" customHeight="1" x14ac:dyDescent="0.2">
      <c r="A217" s="6" t="s">
        <v>251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s="27" customFormat="1" ht="12.75" customHeight="1" x14ac:dyDescent="0.2">
      <c r="A218" s="6" t="s">
        <v>252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s="27" customFormat="1" ht="12.75" customHeight="1" x14ac:dyDescent="0.2">
      <c r="A219" s="6" t="s">
        <v>253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s="27" customFormat="1" ht="12.75" customHeight="1" x14ac:dyDescent="0.2">
      <c r="A220" s="6" t="s">
        <v>254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s="27" customFormat="1" ht="12.75" customHeight="1" x14ac:dyDescent="0.2">
      <c r="A221" s="6" t="s">
        <v>255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s="27" customFormat="1" ht="12.75" customHeight="1" x14ac:dyDescent="0.2">
      <c r="A222" s="6" t="s">
        <v>256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s="27" customFormat="1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s="27" customFormat="1" ht="12.75" customHeight="1" x14ac:dyDescent="0.2">
      <c r="A224" s="6" t="s">
        <v>257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s="27" customFormat="1" ht="12.75" customHeight="1" x14ac:dyDescent="0.2">
      <c r="A225" s="6" t="s">
        <v>258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s="27" customFormat="1" ht="12.75" customHeight="1" x14ac:dyDescent="0.2">
      <c r="A226" s="6" t="s">
        <v>259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s="27" customFormat="1" ht="12.75" customHeight="1" x14ac:dyDescent="0.2">
      <c r="A227" s="6" t="s">
        <v>260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s="27" customFormat="1" ht="12.75" customHeight="1" x14ac:dyDescent="0.2">
      <c r="A228" s="6" t="s">
        <v>261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s="27" customFormat="1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s="27" customFormat="1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s="27" customFormat="1" ht="12.75" customHeight="1" x14ac:dyDescent="0.2">
      <c r="A231" s="23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s="27" customFormat="1" ht="12.75" customHeight="1" x14ac:dyDescent="0.2">
      <c r="A232" s="23" t="s">
        <v>262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s="27" customFormat="1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s="27" customFormat="1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s="27" customFormat="1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s="27" customFormat="1" ht="12.75" customHeight="1" x14ac:dyDescent="0.2">
      <c r="A236" s="6" t="s">
        <v>263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s="27" customFormat="1" ht="12.75" customHeight="1" x14ac:dyDescent="0.2">
      <c r="A237" s="6" t="s">
        <v>264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s="27" customFormat="1" ht="12.75" customHeight="1" x14ac:dyDescent="0.2">
      <c r="A238" s="6" t="s">
        <v>265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s="27" customFormat="1" ht="12.75" customHeight="1" x14ac:dyDescent="0.2">
      <c r="A239" s="6" t="s">
        <v>266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s="27" customFormat="1" ht="12.75" customHeight="1" x14ac:dyDescent="0.2">
      <c r="A240" s="6" t="s">
        <v>267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s="27" customFormat="1" ht="12.75" customHeight="1" x14ac:dyDescent="0.2">
      <c r="A241" s="6" t="s">
        <v>268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s="27" customFormat="1" ht="12.75" customHeight="1" x14ac:dyDescent="0.2">
      <c r="A242" s="6" t="s">
        <v>269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s="27" customFormat="1" ht="12.75" customHeight="1" x14ac:dyDescent="0.2">
      <c r="A243" s="6" t="s">
        <v>270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s="27" customFormat="1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s="27" customFormat="1" ht="12.75" customHeight="1" x14ac:dyDescent="0.2">
      <c r="A245" s="6" t="s">
        <v>271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s="27" customFormat="1" ht="12.75" customHeight="1" x14ac:dyDescent="0.2">
      <c r="A246" s="6" t="s">
        <v>272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s="27" customFormat="1" ht="12.75" customHeight="1" x14ac:dyDescent="0.2">
      <c r="A247" s="6" t="s">
        <v>273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s="27" customFormat="1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s="27" customFormat="1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s="27" customFormat="1" ht="12.75" customHeight="1" x14ac:dyDescent="0.2">
      <c r="A250" s="23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s="27" customFormat="1" ht="12.75" customHeight="1" x14ac:dyDescent="0.2">
      <c r="A251" s="23" t="s">
        <v>274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s="27" customFormat="1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s="27" customFormat="1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s="27" customFormat="1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s="27" customFormat="1" ht="12.75" customHeight="1" x14ac:dyDescent="0.2">
      <c r="A255" s="6" t="s">
        <v>275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s="27" customFormat="1" ht="12.75" customHeight="1" x14ac:dyDescent="0.2">
      <c r="A256" s="23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s="27" customFormat="1" ht="12.75" customHeight="1" x14ac:dyDescent="0.2">
      <c r="A257" s="23" t="s">
        <v>276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s="27" customFormat="1" ht="12.75" customHeight="1" x14ac:dyDescent="0.2">
      <c r="A258" s="23" t="s">
        <v>277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s="27" customFormat="1" ht="12.75" customHeight="1" x14ac:dyDescent="0.2">
      <c r="A259" s="23" t="s">
        <v>278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s="27" customFormat="1" ht="12.75" customHeight="1" x14ac:dyDescent="0.2">
      <c r="A260" s="23" t="s">
        <v>279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s="27" customFormat="1" ht="12.75" customHeight="1" x14ac:dyDescent="0.2">
      <c r="A261" s="23" t="s">
        <v>280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s="27" customFormat="1" ht="12.75" customHeight="1" x14ac:dyDescent="0.2">
      <c r="A262" s="23" t="s">
        <v>281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s="27" customFormat="1" ht="12.75" customHeight="1" x14ac:dyDescent="0.2">
      <c r="A263" s="23" t="s">
        <v>282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s="27" customFormat="1" ht="12.75" customHeight="1" x14ac:dyDescent="0.2">
      <c r="A264" s="23" t="s">
        <v>283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s="27" customFormat="1" ht="12.75" customHeight="1" x14ac:dyDescent="0.2">
      <c r="A265" s="23" t="s">
        <v>284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s="27" customFormat="1" ht="12.75" customHeight="1" x14ac:dyDescent="0.2">
      <c r="A266" s="23" t="s">
        <v>285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s="27" customFormat="1" ht="12.75" customHeight="1" x14ac:dyDescent="0.2">
      <c r="A267" s="23" t="s">
        <v>286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s="27" customFormat="1" ht="12.75" customHeight="1" x14ac:dyDescent="0.2">
      <c r="A268" s="23" t="s">
        <v>287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s="27" customFormat="1" ht="12.75" customHeight="1" x14ac:dyDescent="0.2">
      <c r="A269" s="23" t="s">
        <v>288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s="27" customFormat="1" ht="12.75" customHeight="1" x14ac:dyDescent="0.2">
      <c r="A270" s="23" t="s">
        <v>289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s="27" customFormat="1" ht="12.75" customHeight="1" x14ac:dyDescent="0.2">
      <c r="A271" s="23" t="s">
        <v>290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s="27" customFormat="1" ht="12.75" customHeight="1" x14ac:dyDescent="0.2">
      <c r="A272" s="23" t="s">
        <v>291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s="27" customFormat="1" ht="12.75" customHeight="1" x14ac:dyDescent="0.2">
      <c r="A273" s="23" t="s">
        <v>292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s="27" customFormat="1" ht="12.75" customHeight="1" x14ac:dyDescent="0.2">
      <c r="A274" s="23" t="s">
        <v>293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s="27" customFormat="1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s="27" customFormat="1" ht="12.75" customHeight="1" x14ac:dyDescent="0.2">
      <c r="A276" s="6" t="s">
        <v>294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s="27" customFormat="1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s="27" customFormat="1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s="27" customFormat="1" ht="12.75" customHeight="1" x14ac:dyDescent="0.2">
      <c r="A279" s="23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s="27" customFormat="1" ht="12.75" customHeight="1" x14ac:dyDescent="0.2">
      <c r="A280" s="23" t="s">
        <v>295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s="27" customFormat="1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s="27" customFormat="1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s="27" customFormat="1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s="27" customFormat="1" ht="12.75" customHeight="1" x14ac:dyDescent="0.2">
      <c r="A284" s="6" t="s">
        <v>296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s="27" customFormat="1" ht="12.75" customHeight="1" x14ac:dyDescent="0.2">
      <c r="A285" s="6" t="s">
        <v>297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s="27" customFormat="1" ht="12.75" customHeight="1" x14ac:dyDescent="0.2">
      <c r="A286" s="6" t="s">
        <v>298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s="27" customFormat="1" ht="12.75" customHeight="1" x14ac:dyDescent="0.2">
      <c r="A287" s="6" t="s">
        <v>299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s="27" customFormat="1" ht="12.75" customHeight="1" x14ac:dyDescent="0.2">
      <c r="A288" s="6" t="s">
        <v>300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s="27" customFormat="1" ht="12.75" customHeight="1" x14ac:dyDescent="0.2">
      <c r="A289" s="6" t="s">
        <v>301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s="27" customFormat="1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s="27" customFormat="1" ht="12.75" customHeight="1" x14ac:dyDescent="0.2">
      <c r="A291" s="6" t="s">
        <v>302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s="27" customFormat="1" ht="12.75" customHeight="1" x14ac:dyDescent="0.2">
      <c r="A292" s="6" t="s">
        <v>303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s="27" customFormat="1" ht="12.75" customHeight="1" x14ac:dyDescent="0.2">
      <c r="A293" s="6" t="s">
        <v>304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s="27" customFormat="1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s="27" customFormat="1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s="27" customFormat="1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s="27" customFormat="1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s="27" customFormat="1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s="27" customFormat="1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s="27" customFormat="1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s="27" customFormat="1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s="27" customFormat="1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s="27" customFormat="1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s="27" customFormat="1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s="27" customFormat="1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s="27" customFormat="1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s="27" customFormat="1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s="27" customFormat="1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s="27" customFormat="1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s="27" customFormat="1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s="27" customFormat="1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s="27" customFormat="1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s="27" customFormat="1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s="27" customFormat="1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s="27" customFormat="1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s="27" customFormat="1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s="27" customFormat="1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s="27" customFormat="1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s="27" customFormat="1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s="27" customFormat="1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s="27" customFormat="1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s="27" customFormat="1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s="27" customFormat="1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s="27" customFormat="1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s="27" customFormat="1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s="27" customFormat="1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s="27" customFormat="1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s="27" customFormat="1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s="27" customFormat="1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s="27" customFormat="1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s="27" customFormat="1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s="27" customFormat="1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s="27" customFormat="1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s="27" customFormat="1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s="27" customFormat="1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s="27" customFormat="1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s="27" customFormat="1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s="27" customFormat="1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s="27" customFormat="1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s="27" customFormat="1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s="27" customFormat="1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s="27" customFormat="1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s="27" customFormat="1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s="27" customFormat="1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s="27" customFormat="1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s="27" customFormat="1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s="27" customFormat="1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s="27" customFormat="1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s="27" customFormat="1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s="27" customFormat="1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s="27" customFormat="1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s="27" customFormat="1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s="27" customFormat="1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s="27" customFormat="1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s="27" customFormat="1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s="27" customFormat="1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s="27" customFormat="1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s="27" customFormat="1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s="27" customFormat="1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s="27" customFormat="1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s="27" customFormat="1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s="27" customFormat="1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s="27" customFormat="1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s="27" customFormat="1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s="27" customFormat="1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s="27" customFormat="1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s="27" customFormat="1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s="27" customFormat="1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s="27" customFormat="1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s="27" customFormat="1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s="27" customFormat="1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s="27" customFormat="1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s="27" customFormat="1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s="27" customFormat="1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s="27" customFormat="1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s="27" customFormat="1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s="27" customFormat="1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s="27" customFormat="1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s="27" customFormat="1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s="27" customFormat="1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s="27" customFormat="1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s="27" customFormat="1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s="27" customFormat="1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s="27" customFormat="1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s="27" customFormat="1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s="27" customFormat="1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s="27" customFormat="1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s="27" customFormat="1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s="27" customFormat="1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s="27" customFormat="1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s="27" customFormat="1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s="27" customFormat="1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s="27" customFormat="1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s="27" customFormat="1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s="27" customFormat="1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s="27" customFormat="1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s="27" customFormat="1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s="27" customFormat="1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s="27" customFormat="1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s="27" customFormat="1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s="27" customFormat="1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s="27" customFormat="1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s="27" customFormat="1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s="27" customFormat="1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s="27" customFormat="1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s="27" customFormat="1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s="27" customFormat="1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s="27" customFormat="1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s="27" customFormat="1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s="27" customFormat="1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s="27" customFormat="1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s="27" customFormat="1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s="27" customFormat="1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s="27" customFormat="1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s="27" customFormat="1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s="27" customFormat="1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s="27" customFormat="1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s="27" customFormat="1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s="27" customFormat="1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s="27" customFormat="1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s="27" customFormat="1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s="27" customFormat="1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s="27" customFormat="1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s="27" customFormat="1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s="27" customFormat="1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s="27" customFormat="1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s="27" customFormat="1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s="27" customFormat="1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s="27" customFormat="1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s="27" customFormat="1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s="27" customFormat="1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s="27" customFormat="1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s="27" customFormat="1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s="27" customFormat="1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s="27" customFormat="1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s="27" customFormat="1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s="27" customFormat="1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s="27" customFormat="1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s="27" customFormat="1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s="27" customFormat="1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s="27" customFormat="1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s="27" customFormat="1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s="27" customFormat="1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s="27" customFormat="1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s="27" customFormat="1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s="27" customFormat="1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s="27" customFormat="1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s="27" customFormat="1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s="27" customFormat="1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s="27" customFormat="1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s="27" customFormat="1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s="27" customFormat="1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s="27" customFormat="1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s="27" customFormat="1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s="27" customFormat="1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s="27" customFormat="1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s="27" customFormat="1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s="27" customFormat="1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s="27" customFormat="1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s="27" customFormat="1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s="27" customFormat="1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s="27" customFormat="1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s="27" customFormat="1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s="27" customFormat="1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s="27" customFormat="1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s="27" customFormat="1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s="27" customFormat="1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s="27" customFormat="1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s="27" customFormat="1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s="27" customFormat="1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s="27" customFormat="1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s="27" customFormat="1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s="27" customFormat="1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s="27" customFormat="1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s="27" customFormat="1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s="27" customFormat="1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s="27" customFormat="1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s="27" customFormat="1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s="27" customFormat="1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s="27" customFormat="1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s="27" customFormat="1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s="27" customFormat="1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s="27" customFormat="1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s="27" customFormat="1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s="27" customFormat="1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s="27" customFormat="1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s="27" customFormat="1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s="27" customFormat="1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s="27" customFormat="1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s="27" customFormat="1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s="27" customFormat="1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s="27" customFormat="1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s="27" customFormat="1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s="27" customFormat="1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s="27" customFormat="1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s="27" customFormat="1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s="27" customFormat="1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s="27" customFormat="1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s="27" customFormat="1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s="27" customFormat="1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s="27" customFormat="1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s="27" customFormat="1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s="27" customFormat="1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s="27" customFormat="1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s="27" customFormat="1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s="27" customFormat="1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s="27" customFormat="1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s="27" customFormat="1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s="27" customFormat="1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s="27" customFormat="1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s="27" customFormat="1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s="27" customFormat="1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s="27" customFormat="1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s="27" customFormat="1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s="27" customFormat="1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s="27" customFormat="1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s="27" customFormat="1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s="27" customFormat="1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s="27" customFormat="1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s="27" customFormat="1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s="27" customFormat="1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s="27" customFormat="1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s="27" customFormat="1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s="27" customFormat="1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s="27" customFormat="1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s="27" customFormat="1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s="27" customFormat="1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s="27" customFormat="1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s="27" customFormat="1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s="27" customFormat="1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s="27" customFormat="1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s="27" customFormat="1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s="27" customFormat="1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s="27" customFormat="1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s="27" customFormat="1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s="27" customFormat="1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s="27" customFormat="1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s="27" customFormat="1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s="27" customFormat="1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s="27" customFormat="1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s="27" customFormat="1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s="27" customFormat="1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s="27" customFormat="1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s="27" customFormat="1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s="27" customFormat="1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s="27" customFormat="1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s="27" customFormat="1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s="27" customFormat="1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s="27" customFormat="1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s="27" customFormat="1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s="27" customFormat="1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s="27" customFormat="1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s="27" customFormat="1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s="27" customFormat="1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s="27" customFormat="1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s="27" customFormat="1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s="27" customFormat="1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s="27" customFormat="1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s="27" customFormat="1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s="27" customFormat="1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s="27" customFormat="1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s="27" customFormat="1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s="27" customFormat="1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s="27" customFormat="1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s="27" customFormat="1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s="27" customFormat="1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s="27" customFormat="1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s="27" customFormat="1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s="27" customFormat="1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s="27" customFormat="1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s="27" customFormat="1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s="27" customFormat="1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s="27" customFormat="1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s="27" customFormat="1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s="27" customFormat="1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s="27" customFormat="1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s="27" customFormat="1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s="27" customFormat="1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s="27" customFormat="1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s="27" customFormat="1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s="27" customFormat="1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s="27" customFormat="1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s="27" customFormat="1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s="27" customFormat="1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s="27" customFormat="1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s="27" customFormat="1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s="27" customFormat="1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s="27" customFormat="1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s="27" customFormat="1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s="27" customFormat="1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s="27" customFormat="1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s="27" customFormat="1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s="27" customFormat="1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s="27" customFormat="1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s="27" customFormat="1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s="27" customFormat="1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s="27" customFormat="1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s="27" customFormat="1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s="27" customFormat="1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s="27" customFormat="1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s="27" customFormat="1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s="27" customFormat="1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s="27" customFormat="1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s="27" customFormat="1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s="27" customFormat="1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s="27" customFormat="1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s="27" customFormat="1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s="27" customFormat="1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s="27" customFormat="1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s="27" customFormat="1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s="27" customFormat="1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s="27" customFormat="1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s="27" customFormat="1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s="27" customFormat="1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s="27" customFormat="1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s="27" customFormat="1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s="27" customFormat="1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s="27" customFormat="1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s="27" customFormat="1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s="27" customFormat="1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s="27" customFormat="1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s="27" customFormat="1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s="27" customFormat="1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s="27" customFormat="1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s="27" customFormat="1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s="27" customFormat="1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s="27" customFormat="1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s="27" customFormat="1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s="27" customFormat="1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s="27" customFormat="1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s="27" customFormat="1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s="27" customFormat="1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s="27" customFormat="1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s="27" customFormat="1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s="27" customFormat="1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s="27" customFormat="1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s="27" customFormat="1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s="27" customFormat="1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s="27" customFormat="1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s="27" customFormat="1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s="27" customFormat="1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s="27" customFormat="1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s="27" customFormat="1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s="27" customFormat="1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s="27" customFormat="1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s="27" customFormat="1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s="27" customFormat="1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s="27" customFormat="1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s="27" customFormat="1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s="27" customFormat="1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s="27" customFormat="1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s="27" customFormat="1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s="27" customFormat="1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s="27" customFormat="1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s="27" customFormat="1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s="27" customFormat="1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s="27" customFormat="1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s="27" customFormat="1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s="27" customFormat="1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s="27" customFormat="1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s="27" customFormat="1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s="27" customFormat="1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s="27" customFormat="1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s="27" customFormat="1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s="27" customFormat="1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s="27" customFormat="1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s="27" customFormat="1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s="27" customFormat="1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s="27" customFormat="1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s="27" customFormat="1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s="27" customFormat="1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s="27" customFormat="1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s="27" customFormat="1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s="27" customFormat="1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s="27" customFormat="1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s="27" customFormat="1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s="27" customFormat="1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s="27" customFormat="1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s="27" customFormat="1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s="27" customFormat="1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s="27" customFormat="1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s="27" customFormat="1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s="27" customFormat="1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s="27" customFormat="1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s="27" customFormat="1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s="27" customFormat="1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s="27" customFormat="1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s="27" customFormat="1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s="27" customFormat="1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s="27" customFormat="1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s="27" customFormat="1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s="27" customFormat="1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s="27" customFormat="1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s="27" customFormat="1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s="27" customFormat="1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s="27" customFormat="1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s="27" customFormat="1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s="27" customFormat="1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s="27" customFormat="1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s="27" customFormat="1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s="27" customFormat="1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s="27" customFormat="1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s="27" customFormat="1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s="27" customFormat="1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s="27" customFormat="1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s="27" customFormat="1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s="27" customFormat="1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s="27" customFormat="1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s="27" customFormat="1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s="27" customFormat="1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s="27" customFormat="1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s="27" customFormat="1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s="27" customFormat="1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s="27" customFormat="1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s="27" customFormat="1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s="27" customFormat="1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s="27" customFormat="1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s="27" customFormat="1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s="27" customFormat="1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s="27" customFormat="1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s="27" customFormat="1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s="27" customFormat="1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s="27" customFormat="1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s="27" customFormat="1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s="27" customFormat="1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s="27" customFormat="1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s="27" customFormat="1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s="27" customFormat="1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s="27" customFormat="1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s="27" customFormat="1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s="27" customFormat="1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s="27" customFormat="1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s="27" customFormat="1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s="27" customFormat="1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s="27" customFormat="1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s="27" customFormat="1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s="27" customFormat="1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s="27" customFormat="1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s="27" customFormat="1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s="27" customFormat="1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s="27" customFormat="1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s="27" customFormat="1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s="27" customFormat="1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s="27" customFormat="1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s="27" customFormat="1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s="27" customFormat="1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s="27" customFormat="1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s="27" customFormat="1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s="27" customFormat="1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s="27" customFormat="1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s="27" customFormat="1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s="27" customFormat="1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s="27" customFormat="1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s="27" customFormat="1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s="27" customFormat="1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s="27" customFormat="1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s="27" customFormat="1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s="27" customFormat="1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s="27" customFormat="1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s="27" customFormat="1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s="27" customFormat="1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s="27" customFormat="1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s="27" customFormat="1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s="27" customFormat="1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s="27" customFormat="1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s="27" customFormat="1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s="27" customFormat="1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s="27" customFormat="1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s="27" customFormat="1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s="27" customFormat="1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s="27" customFormat="1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s="27" customFormat="1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s="27" customFormat="1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s="27" customFormat="1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s="27" customFormat="1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s="27" customFormat="1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s="27" customFormat="1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s="27" customFormat="1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s="27" customFormat="1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s="27" customFormat="1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s="27" customFormat="1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s="27" customFormat="1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s="27" customFormat="1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s="27" customFormat="1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s="27" customFormat="1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s="27" customFormat="1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s="27" customFormat="1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s="27" customFormat="1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s="27" customFormat="1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s="27" customFormat="1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s="27" customFormat="1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s="27" customFormat="1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s="27" customFormat="1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s="27" customFormat="1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s="27" customFormat="1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s="27" customFormat="1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s="27" customFormat="1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s="27" customFormat="1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s="27" customFormat="1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s="27" customFormat="1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s="27" customFormat="1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s="27" customFormat="1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s="27" customFormat="1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s="27" customFormat="1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s="27" customFormat="1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s="27" customFormat="1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s="27" customFormat="1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s="27" customFormat="1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s="27" customFormat="1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s="27" customFormat="1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s="27" customFormat="1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s="27" customFormat="1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s="27" customFormat="1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s="27" customFormat="1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s="27" customFormat="1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s="27" customFormat="1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s="27" customFormat="1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s="27" customFormat="1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s="27" customFormat="1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s="27" customFormat="1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s="27" customFormat="1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s="27" customFormat="1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s="27" customFormat="1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s="27" customFormat="1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s="27" customFormat="1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s="27" customFormat="1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s="27" customFormat="1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s="27" customFormat="1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s="27" customFormat="1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s="27" customFormat="1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s="27" customFormat="1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s="27" customFormat="1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s="27" customFormat="1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s="27" customFormat="1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s="27" customFormat="1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s="27" customFormat="1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s="27" customFormat="1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s="27" customFormat="1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s="27" customFormat="1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s="27" customFormat="1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s="27" customFormat="1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s="27" customFormat="1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s="27" customFormat="1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s="27" customFormat="1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s="27" customFormat="1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s="27" customFormat="1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s="27" customFormat="1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s="27" customFormat="1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s="27" customFormat="1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s="27" customFormat="1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s="27" customFormat="1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s="27" customFormat="1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s="27" customFormat="1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s="27" customFormat="1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s="27" customFormat="1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s="27" customFormat="1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s="27" customFormat="1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s="27" customFormat="1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s="27" customFormat="1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s="27" customFormat="1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s="27" customFormat="1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s="27" customFormat="1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s="27" customFormat="1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s="27" customFormat="1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s="27" customFormat="1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s="27" customFormat="1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s="27" customFormat="1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s="27" customFormat="1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s="27" customFormat="1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s="27" customFormat="1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s="27" customFormat="1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s="27" customFormat="1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s="27" customFormat="1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s="27" customFormat="1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s="27" customFormat="1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s="27" customFormat="1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s="27" customFormat="1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s="27" customFormat="1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s="27" customFormat="1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s="27" customFormat="1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s="27" customFormat="1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s="27" customFormat="1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s="27" customFormat="1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s="27" customFormat="1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s="27" customFormat="1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s="27" customFormat="1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s="27" customFormat="1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s="27" customFormat="1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s="27" customFormat="1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s="27" customFormat="1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s="27" customFormat="1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s="27" customFormat="1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s="27" customFormat="1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s="27" customFormat="1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s="27" customFormat="1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s="27" customFormat="1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s="27" customFormat="1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s="27" customFormat="1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s="27" customFormat="1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s="27" customFormat="1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s="27" customFormat="1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s="27" customFormat="1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s="27" customFormat="1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s="27" customFormat="1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s="27" customFormat="1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s="27" customFormat="1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s="27" customFormat="1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s="27" customFormat="1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s="27" customFormat="1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s="27" customFormat="1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s="27" customFormat="1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s="27" customFormat="1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s="27" customFormat="1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s="27" customFormat="1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s="27" customFormat="1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s="27" customFormat="1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s="27" customFormat="1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s="27" customFormat="1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s="27" customFormat="1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s="27" customFormat="1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s="27" customFormat="1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s="27" customFormat="1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s="27" customFormat="1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s="27" customFormat="1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s="27" customFormat="1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s="27" customFormat="1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s="27" customFormat="1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s="27" customFormat="1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s="27" customFormat="1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s="27" customFormat="1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s="27" customFormat="1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s="27" customFormat="1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s="27" customFormat="1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s="27" customFormat="1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s="27" customFormat="1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s="27" customFormat="1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s="27" customFormat="1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s="27" customFormat="1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s="27" customFormat="1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s="27" customFormat="1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s="27" customFormat="1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s="27" customFormat="1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s="27" customFormat="1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s="27" customFormat="1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s="27" customFormat="1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s="27" customFormat="1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s="27" customFormat="1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s="27" customFormat="1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s="27" customFormat="1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s="27" customFormat="1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s="27" customFormat="1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s="27" customFormat="1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s="27" customFormat="1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s="27" customFormat="1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s="27" customFormat="1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s="27" customFormat="1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s="27" customFormat="1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s="27" customFormat="1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s="27" customFormat="1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s="27" customFormat="1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s="27" customFormat="1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s="27" customFormat="1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s="27" customFormat="1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s="27" customFormat="1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s="27" customFormat="1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s="27" customFormat="1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s="27" customFormat="1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s="27" customFormat="1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s="27" customFormat="1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s="27" customFormat="1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s="27" customFormat="1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s="27" customFormat="1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s="27" customFormat="1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s="27" customFormat="1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s="27" customFormat="1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s="27" customFormat="1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s="27" customFormat="1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s="27" customFormat="1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s="27" customFormat="1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s="27" customFormat="1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s="27" customFormat="1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s="27" customFormat="1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s="27" customFormat="1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s="27" customFormat="1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s="27" customFormat="1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s="27" customFormat="1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s="27" customFormat="1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s="27" customFormat="1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s="27" customFormat="1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s="27" customFormat="1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s="27" customFormat="1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s="27" customFormat="1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s="27" customFormat="1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s="27" customFormat="1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s="27" customFormat="1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s="27" customFormat="1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s="27" customFormat="1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s="27" customFormat="1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s="27" customFormat="1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s="27" customFormat="1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00"/>
  <sheetViews>
    <sheetView workbookViewId="0"/>
  </sheetViews>
  <sheetFormatPr defaultColWidth="14.42578125" defaultRowHeight="12.75" x14ac:dyDescent="0.2"/>
  <cols>
    <col min="1" max="6" width="12.5703125" style="27" customWidth="1"/>
  </cols>
  <sheetData>
    <row r="1" spans="1:11" s="27" customFormat="1" ht="15.75" customHeight="1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s="27" customFormat="1" ht="15.75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s="27" customFormat="1" ht="15.75" customHeight="1" x14ac:dyDescent="0.2">
      <c r="A3" s="1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s="27" customFormat="1" ht="15.75" customHeight="1" x14ac:dyDescent="0.2">
      <c r="A4" s="1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s="27" customFormat="1" ht="15.75" customHeight="1" x14ac:dyDescent="0.2">
      <c r="A5" s="1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s="27" customFormat="1" ht="15.75" customHeight="1" x14ac:dyDescent="0.2">
      <c r="A6" s="1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s="27" customFormat="1" ht="15.75" customHeight="1" x14ac:dyDescent="0.2">
      <c r="A7" s="1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s="27" customFormat="1" ht="15.75" customHeight="1" x14ac:dyDescent="0.2">
      <c r="A8" s="1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s="27" customFormat="1" ht="15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s="27" customFormat="1" ht="15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s="27" customFormat="1" ht="15.7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s="27" customFormat="1" ht="15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s="27" customFormat="1" ht="15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s="27" customFormat="1" ht="15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s="27" customFormat="1" ht="15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s="27" customFormat="1" ht="15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s="27" customFormat="1" ht="15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s="27" customFormat="1" ht="15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s="27" customFormat="1" ht="15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s="27" customFormat="1" ht="15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s="27" customFormat="1" ht="15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s="27" customFormat="1" ht="15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s="27" customFormat="1" ht="15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s="27" customFormat="1" ht="15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s="27" customFormat="1" ht="15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s="27" customFormat="1" ht="15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s="27" customFormat="1" ht="15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s="27" customFormat="1" ht="15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s="27" customFormat="1" ht="15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s="27" customFormat="1" ht="15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s="27" customFormat="1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s="27" customFormat="1" ht="15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s="27" customFormat="1" ht="15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s="27" customFormat="1" ht="15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s="27" customFormat="1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s="27" customFormat="1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s="27" customFormat="1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s="27" customFormat="1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s="27" customFormat="1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s="27" customFormat="1" ht="15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s="27" customFormat="1" ht="15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s="27" customFormat="1" ht="15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s="27" customFormat="1" ht="15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s="27" customFormat="1" ht="15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s="27" customFormat="1" ht="15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s="27" customFormat="1" ht="15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s="27" customFormat="1" ht="15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s="27" customFormat="1" ht="15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s="27" customFormat="1" ht="15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s="27" customFormat="1" ht="15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s="27" customFormat="1" ht="15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s="27" customFormat="1" ht="15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s="27" customFormat="1" ht="15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s="27" customFormat="1" ht="15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s="27" customFormat="1" ht="15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s="27" customFormat="1" ht="15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s="27" customFormat="1" ht="15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s="27" customFormat="1" ht="15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s="27" customFormat="1" ht="15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s="27" customFormat="1" ht="15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s="27" customFormat="1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s="27" customFormat="1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s="27" customFormat="1" ht="15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s="27" customFormat="1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s="27" customFormat="1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s="27" customFormat="1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s="27" customFormat="1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s="27" customFormat="1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s="27" customFormat="1" ht="15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s="27" customFormat="1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s="27" customFormat="1" ht="15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s="27" customFormat="1" ht="15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s="27" customFormat="1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s="27" customFormat="1" ht="15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s="27" customFormat="1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s="27" customFormat="1" ht="15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s="27" customFormat="1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s="27" customFormat="1" ht="15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s="27" customFormat="1" ht="15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s="27" customFormat="1" ht="15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s="27" customFormat="1" ht="15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s="27" customFormat="1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s="27" customFormat="1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s="27" customFormat="1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s="27" customFormat="1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s="27" customFormat="1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s="27" customFormat="1" ht="15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s="27" customFormat="1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s="27" customFormat="1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s="27" customFormat="1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s="27" customFormat="1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s="27" customFormat="1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s="27" customFormat="1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s="27" customFormat="1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s="27" customFormat="1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s="27" customFormat="1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s="27" customFormat="1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s="27" customFormat="1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s="27" customFormat="1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s="27" customFormat="1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s="27" customFormat="1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s="27" customFormat="1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s="27" customFormat="1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s="27" customFormat="1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s="27" customFormat="1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s="27" customFormat="1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s="27" customFormat="1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s="27" customFormat="1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s="27" customFormat="1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s="27" customFormat="1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s="27" customFormat="1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s="27" customFormat="1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s="27" customFormat="1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s="27" customFormat="1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s="27" customFormat="1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s="27" customFormat="1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s="27" customFormat="1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s="27" customFormat="1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s="27" customFormat="1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s="27" customFormat="1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s="27" customFormat="1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s="27" customFormat="1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s="27" customFormat="1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s="27" customFormat="1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s="27" customFormat="1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s="27" customFormat="1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s="27" customFormat="1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s="27" customFormat="1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s="27" customFormat="1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s="27" customFormat="1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s="27" customFormat="1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s="27" customFormat="1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s="27" customFormat="1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s="27" customFormat="1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s="27" customFormat="1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s="27" customFormat="1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s="27" customFormat="1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s="27" customFormat="1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s="27" customFormat="1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s="27" customFormat="1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s="27" customFormat="1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s="27" customFormat="1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s="27" customFormat="1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s="27" customFormat="1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s="27" customFormat="1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s="27" customFormat="1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s="27" customFormat="1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s="27" customFormat="1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s="27" customFormat="1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s="27" customFormat="1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s="27" customFormat="1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s="27" customFormat="1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s="27" customFormat="1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s="27" customFormat="1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s="27" customFormat="1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s="27" customFormat="1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s="27" customFormat="1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s="27" customFormat="1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s="27" customFormat="1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s="27" customFormat="1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s="27" customFormat="1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s="27" customFormat="1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s="27" customFormat="1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s="27" customFormat="1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s="27" customFormat="1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s="27" customFormat="1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s="27" customFormat="1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s="27" customFormat="1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s="27" customFormat="1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s="27" customFormat="1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s="27" customFormat="1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s="27" customFormat="1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s="27" customFormat="1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s="27" customFormat="1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s="27" customFormat="1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s="27" customFormat="1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s="27" customFormat="1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s="27" customFormat="1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s="27" customFormat="1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s="27" customFormat="1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s="27" customFormat="1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s="27" customFormat="1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s="27" customFormat="1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s="27" customFormat="1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s="27" customFormat="1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s="27" customFormat="1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s="27" customFormat="1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s="27" customFormat="1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s="27" customFormat="1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s="27" customFormat="1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s="27" customFormat="1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s="27" customFormat="1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s="27" customFormat="1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s="27" customFormat="1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s="27" customFormat="1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s="27" customFormat="1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s="27" customFormat="1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s="27" customFormat="1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s="27" customFormat="1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s="27" customFormat="1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s="27" customFormat="1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s="27" customFormat="1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s="27" customFormat="1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s="27" customFormat="1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s="27" customFormat="1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s="27" customFormat="1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s="27" customFormat="1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s="27" customFormat="1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s="27" customFormat="1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s="27" customFormat="1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s="27" customFormat="1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s="27" customFormat="1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s="27" customFormat="1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s="27" customFormat="1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s="27" customFormat="1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s="27" customFormat="1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s="27" customFormat="1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s="27" customFormat="1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s="27" customFormat="1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s="27" customFormat="1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s="27" customFormat="1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s="27" customFormat="1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s="27" customFormat="1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s="27" customFormat="1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s="27" customFormat="1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s="27" customFormat="1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s="27" customFormat="1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s="27" customFormat="1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s="27" customFormat="1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s="27" customFormat="1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s="27" customFormat="1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s="27" customFormat="1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s="27" customFormat="1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s="27" customFormat="1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s="27" customFormat="1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s="27" customFormat="1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s="27" customFormat="1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s="27" customFormat="1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s="27" customFormat="1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s="27" customFormat="1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s="27" customFormat="1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s="27" customFormat="1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s="27" customFormat="1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s="27" customFormat="1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s="27" customFormat="1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s="27" customFormat="1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s="27" customFormat="1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s="27" customFormat="1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s="27" customFormat="1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s="27" customFormat="1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s="27" customFormat="1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s="27" customFormat="1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s="27" customFormat="1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s="27" customFormat="1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s="27" customFormat="1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s="27" customFormat="1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s="27" customFormat="1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s="27" customFormat="1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s="27" customFormat="1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s="27" customFormat="1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s="27" customFormat="1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s="27" customFormat="1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s="27" customFormat="1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s="27" customFormat="1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s="27" customFormat="1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s="27" customFormat="1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s="27" customFormat="1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s="27" customFormat="1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s="27" customFormat="1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s="27" customFormat="1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s="27" customFormat="1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s="27" customFormat="1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s="27" customFormat="1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s="27" customFormat="1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s="27" customFormat="1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s="27" customFormat="1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s="27" customFormat="1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s="27" customFormat="1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s="27" customFormat="1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s="27" customFormat="1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s="27" customFormat="1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s="27" customFormat="1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s="27" customFormat="1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s="27" customFormat="1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s="27" customFormat="1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s="27" customFormat="1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s="27" customFormat="1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s="27" customFormat="1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s="27" customFormat="1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s="27" customFormat="1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s="27" customFormat="1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s="27" customFormat="1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s="27" customFormat="1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s="27" customFormat="1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s="27" customFormat="1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s="27" customFormat="1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s="27" customFormat="1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s="27" customFormat="1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s="27" customFormat="1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s="27" customFormat="1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s="27" customFormat="1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s="27" customFormat="1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s="27" customFormat="1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s="27" customFormat="1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s="27" customFormat="1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s="27" customFormat="1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s="27" customFormat="1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s="27" customFormat="1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s="27" customFormat="1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s="27" customFormat="1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s="27" customFormat="1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s="27" customFormat="1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s="27" customFormat="1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s="27" customFormat="1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s="27" customFormat="1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s="27" customFormat="1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s="27" customFormat="1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s="27" customFormat="1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s="27" customFormat="1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s="27" customFormat="1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s="27" customFormat="1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s="27" customFormat="1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s="27" customFormat="1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s="27" customFormat="1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s="27" customFormat="1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s="27" customFormat="1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s="27" customFormat="1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s="27" customFormat="1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s="27" customFormat="1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s="27" customFormat="1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s="27" customFormat="1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s="27" customFormat="1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s="27" customFormat="1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s="27" customFormat="1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s="27" customFormat="1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s="27" customFormat="1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s="27" customFormat="1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s="27" customFormat="1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s="27" customFormat="1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s="27" customFormat="1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s="27" customFormat="1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s="27" customFormat="1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s="27" customFormat="1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s="27" customFormat="1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s="27" customFormat="1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s="27" customFormat="1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s="27" customFormat="1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s="27" customFormat="1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s="27" customFormat="1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s="27" customFormat="1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s="27" customFormat="1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s="27" customFormat="1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s="27" customFormat="1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s="27" customFormat="1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s="27" customFormat="1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s="27" customFormat="1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s="27" customFormat="1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s="27" customFormat="1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s="27" customFormat="1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s="27" customFormat="1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s="27" customFormat="1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s="27" customFormat="1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s="27" customFormat="1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s="27" customFormat="1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s="27" customFormat="1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s="27" customFormat="1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s="27" customFormat="1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s="27" customFormat="1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s="27" customFormat="1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s="27" customFormat="1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s="27" customFormat="1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s="27" customFormat="1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s="27" customFormat="1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s="27" customFormat="1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s="27" customFormat="1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s="27" customFormat="1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s="27" customFormat="1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s="27" customFormat="1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s="27" customFormat="1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s="27" customFormat="1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s="27" customFormat="1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s="27" customFormat="1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s="27" customFormat="1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s="27" customFormat="1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s="27" customFormat="1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s="27" customFormat="1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s="27" customFormat="1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s="27" customFormat="1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s="27" customFormat="1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s="27" customFormat="1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s="27" customFormat="1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s="27" customFormat="1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s="27" customFormat="1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s="27" customFormat="1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s="27" customFormat="1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s="27" customFormat="1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s="27" customFormat="1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s="27" customFormat="1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s="27" customFormat="1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s="27" customFormat="1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s="27" customFormat="1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s="27" customFormat="1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s="27" customFormat="1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s="27" customFormat="1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s="27" customFormat="1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s="27" customFormat="1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s="27" customFormat="1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s="27" customFormat="1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s="27" customFormat="1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s="27" customFormat="1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s="27" customFormat="1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s="27" customFormat="1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s="27" customFormat="1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s="27" customFormat="1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s="27" customFormat="1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s="27" customFormat="1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s="27" customFormat="1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s="27" customFormat="1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s="27" customFormat="1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s="27" customFormat="1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s="27" customFormat="1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s="27" customFormat="1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s="27" customFormat="1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s="27" customFormat="1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s="27" customFormat="1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s="27" customFormat="1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s="27" customFormat="1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s="27" customFormat="1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s="27" customFormat="1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s="27" customFormat="1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s="27" customFormat="1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s="27" customFormat="1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s="27" customFormat="1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s="27" customFormat="1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s="27" customFormat="1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s="27" customFormat="1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s="27" customFormat="1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s="27" customFormat="1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s="27" customFormat="1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s="27" customFormat="1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s="27" customFormat="1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s="27" customFormat="1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s="27" customFormat="1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s="27" customFormat="1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s="27" customFormat="1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s="27" customFormat="1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s="27" customFormat="1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s="27" customFormat="1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s="27" customFormat="1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s="27" customFormat="1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s="27" customFormat="1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s="27" customFormat="1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s="27" customFormat="1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s="27" customFormat="1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s="27" customFormat="1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s="27" customFormat="1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s="27" customFormat="1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s="27" customFormat="1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s="27" customFormat="1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s="27" customFormat="1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s="27" customFormat="1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s="27" customFormat="1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s="27" customFormat="1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s="27" customFormat="1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s="27" customFormat="1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s="27" customFormat="1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s="27" customFormat="1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s="27" customFormat="1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s="27" customFormat="1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s="27" customFormat="1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s="27" customFormat="1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s="27" customFormat="1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s="27" customFormat="1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s="27" customFormat="1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s="27" customFormat="1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s="27" customFormat="1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s="27" customFormat="1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s="27" customFormat="1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s="27" customFormat="1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s="27" customFormat="1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s="27" customFormat="1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s="27" customFormat="1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s="27" customFormat="1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s="27" customFormat="1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s="27" customFormat="1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s="27" customFormat="1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s="27" customFormat="1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s="27" customFormat="1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s="27" customFormat="1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s="27" customFormat="1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s="27" customFormat="1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s="27" customFormat="1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s="27" customFormat="1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s="27" customFormat="1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s="27" customFormat="1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s="27" customFormat="1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s="27" customFormat="1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s="27" customFormat="1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s="27" customFormat="1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s="27" customFormat="1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s="27" customFormat="1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s="27" customFormat="1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s="27" customFormat="1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s="27" customFormat="1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s="27" customFormat="1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s="27" customFormat="1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s="27" customFormat="1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s="27" customFormat="1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s="27" customFormat="1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s="27" customFormat="1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s="27" customFormat="1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s="27" customFormat="1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s="27" customFormat="1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s="27" customFormat="1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s="27" customFormat="1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s="27" customFormat="1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s="27" customFormat="1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s="27" customFormat="1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s="27" customFormat="1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s="27" customFormat="1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s="27" customFormat="1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s="27" customFormat="1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s="27" customFormat="1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s="27" customFormat="1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s="27" customFormat="1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s="27" customFormat="1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s="27" customFormat="1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s="27" customFormat="1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s="27" customFormat="1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s="27" customFormat="1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s="27" customFormat="1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s="27" customFormat="1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s="27" customFormat="1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s="27" customFormat="1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s="27" customFormat="1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s="27" customFormat="1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s="27" customFormat="1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s="27" customFormat="1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s="27" customFormat="1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s="27" customFormat="1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s="27" customFormat="1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s="27" customFormat="1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s="27" customFormat="1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s="27" customFormat="1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s="27" customFormat="1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s="27" customFormat="1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s="27" customFormat="1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s="27" customFormat="1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s="27" customFormat="1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s="27" customFormat="1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s="27" customFormat="1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s="27" customFormat="1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s="27" customFormat="1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s="27" customFormat="1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s="27" customFormat="1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s="27" customFormat="1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s="27" customFormat="1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s="27" customFormat="1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s="27" customFormat="1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s="27" customFormat="1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s="27" customFormat="1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s="27" customFormat="1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s="27" customFormat="1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s="27" customFormat="1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s="27" customFormat="1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s="27" customFormat="1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s="27" customFormat="1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s="27" customFormat="1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s="27" customFormat="1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s="27" customFormat="1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s="27" customFormat="1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s="27" customFormat="1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s="27" customFormat="1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s="27" customFormat="1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s="27" customFormat="1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s="27" customFormat="1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s="27" customFormat="1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s="27" customFormat="1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s="27" customFormat="1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s="27" customFormat="1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s="27" customFormat="1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s="27" customFormat="1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s="27" customFormat="1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s="27" customFormat="1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s="27" customFormat="1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s="27" customFormat="1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s="27" customFormat="1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s="27" customFormat="1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s="27" customFormat="1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s="27" customFormat="1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s="27" customFormat="1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s="27" customFormat="1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s="27" customFormat="1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s="27" customFormat="1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s="27" customFormat="1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s="27" customFormat="1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s="27" customFormat="1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s="27" customFormat="1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s="27" customFormat="1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s="27" customFormat="1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s="27" customFormat="1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s="27" customFormat="1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s="27" customFormat="1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s="27" customFormat="1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s="27" customFormat="1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s="27" customFormat="1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s="27" customFormat="1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s="27" customFormat="1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s="27" customFormat="1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s="27" customFormat="1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s="27" customFormat="1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s="27" customFormat="1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s="27" customFormat="1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s="27" customFormat="1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s="27" customFormat="1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s="27" customFormat="1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s="27" customFormat="1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s="27" customFormat="1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s="27" customFormat="1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s="27" customFormat="1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s="27" customFormat="1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s="27" customFormat="1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s="27" customFormat="1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s="27" customFormat="1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s="27" customFormat="1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s="27" customFormat="1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s="27" customFormat="1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s="27" customFormat="1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s="27" customFormat="1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s="27" customFormat="1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s="27" customFormat="1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s="27" customFormat="1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s="27" customFormat="1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s="27" customFormat="1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s="27" customFormat="1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s="27" customFormat="1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s="27" customFormat="1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s="27" customFormat="1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s="27" customFormat="1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s="27" customFormat="1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s="27" customFormat="1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s="27" customFormat="1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s="27" customFormat="1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s="27" customFormat="1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s="27" customFormat="1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s="27" customFormat="1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s="27" customFormat="1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s="27" customFormat="1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s="27" customFormat="1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s="27" customFormat="1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s="27" customFormat="1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s="27" customFormat="1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s="27" customFormat="1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s="27" customFormat="1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s="27" customFormat="1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s="27" customFormat="1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s="27" customFormat="1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s="27" customFormat="1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s="27" customFormat="1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s="27" customFormat="1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s="27" customFormat="1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s="27" customFormat="1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s="27" customFormat="1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s="27" customFormat="1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s="27" customFormat="1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s="27" customFormat="1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s="27" customFormat="1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s="27" customFormat="1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s="27" customFormat="1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s="27" customFormat="1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s="27" customFormat="1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s="27" customFormat="1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s="27" customFormat="1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s="27" customFormat="1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s="27" customFormat="1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s="27" customFormat="1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s="27" customFormat="1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s="27" customFormat="1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s="27" customFormat="1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s="27" customFormat="1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s="27" customFormat="1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s="27" customFormat="1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s="27" customFormat="1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s="27" customFormat="1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s="27" customFormat="1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s="27" customFormat="1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s="27" customFormat="1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s="27" customFormat="1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s="27" customFormat="1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s="27" customFormat="1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s="27" customFormat="1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s="27" customFormat="1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s="27" customFormat="1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s="27" customFormat="1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s="27" customFormat="1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s="27" customFormat="1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s="27" customFormat="1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s="27" customFormat="1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s="27" customFormat="1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s="27" customFormat="1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s="27" customFormat="1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s="27" customFormat="1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s="27" customFormat="1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s="27" customFormat="1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s="27" customFormat="1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s="27" customFormat="1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s="27" customFormat="1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s="27" customFormat="1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s="27" customFormat="1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s="27" customFormat="1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s="27" customFormat="1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s="27" customFormat="1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s="27" customFormat="1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s="27" customFormat="1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s="27" customFormat="1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s="27" customFormat="1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s="27" customFormat="1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s="27" customFormat="1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s="27" customFormat="1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s="27" customFormat="1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s="27" customFormat="1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s="27" customFormat="1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s="27" customFormat="1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s="27" customFormat="1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s="27" customFormat="1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s="27" customFormat="1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s="27" customFormat="1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s="27" customFormat="1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s="27" customFormat="1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s="27" customFormat="1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s="27" customFormat="1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s="27" customFormat="1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s="27" customFormat="1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s="27" customFormat="1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s="27" customFormat="1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s="27" customFormat="1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s="27" customFormat="1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s="27" customFormat="1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s="27" customFormat="1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s="27" customFormat="1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s="27" customFormat="1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s="27" customFormat="1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s="27" customFormat="1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s="27" customFormat="1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s="27" customFormat="1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s="27" customFormat="1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s="27" customFormat="1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s="27" customFormat="1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s="27" customFormat="1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s="27" customFormat="1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s="27" customFormat="1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s="27" customFormat="1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s="27" customFormat="1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s="27" customFormat="1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s="27" customFormat="1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s="27" customFormat="1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s="27" customFormat="1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s="27" customFormat="1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s="27" customFormat="1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s="27" customFormat="1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s="27" customFormat="1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s="27" customFormat="1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s="27" customFormat="1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s="27" customFormat="1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s="27" customFormat="1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s="27" customFormat="1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s="27" customFormat="1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s="27" customFormat="1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s="27" customFormat="1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s="27" customFormat="1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s="27" customFormat="1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s="27" customFormat="1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s="27" customFormat="1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s="27" customFormat="1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s="27" customFormat="1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s="27" customFormat="1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s="27" customFormat="1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s="27" customFormat="1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s="27" customFormat="1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s="27" customFormat="1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s="27" customFormat="1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s="27" customFormat="1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s="27" customFormat="1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s="27" customFormat="1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s="27" customFormat="1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s="27" customFormat="1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s="27" customFormat="1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s="27" customFormat="1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s="27" customFormat="1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s="27" customFormat="1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s="27" customFormat="1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s="27" customFormat="1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s="27" customFormat="1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s="27" customFormat="1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s="27" customFormat="1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s="27" customFormat="1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s="27" customFormat="1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s="27" customFormat="1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s="27" customFormat="1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s="27" customFormat="1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s="27" customFormat="1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s="27" customFormat="1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s="27" customFormat="1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s="27" customFormat="1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s="27" customFormat="1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s="27" customFormat="1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s="27" customFormat="1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s="27" customFormat="1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s="27" customFormat="1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s="27" customFormat="1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s="27" customFormat="1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s="27" customFormat="1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s="27" customFormat="1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s="27" customFormat="1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s="27" customFormat="1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s="27" customFormat="1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s="27" customFormat="1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s="27" customFormat="1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s="27" customFormat="1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s="27" customFormat="1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s="27" customFormat="1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s="27" customFormat="1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s="27" customFormat="1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s="27" customFormat="1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s="27" customFormat="1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s="27" customFormat="1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s="27" customFormat="1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s="27" customFormat="1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s="27" customFormat="1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s="27" customFormat="1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s="27" customFormat="1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s="27" customFormat="1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s="27" customFormat="1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s="27" customFormat="1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s="27" customFormat="1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s="27" customFormat="1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s="27" customFormat="1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s="27" customFormat="1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s="27" customFormat="1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s="27" customFormat="1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s="27" customFormat="1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s="27" customFormat="1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s="27" customFormat="1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s="27" customFormat="1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s="27" customFormat="1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s="27" customFormat="1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s="27" customFormat="1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s="27" customFormat="1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s="27" customFormat="1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s="27" customFormat="1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s="27" customFormat="1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s="27" customFormat="1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s="27" customFormat="1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s="27" customFormat="1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s="27" customFormat="1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s="27" customFormat="1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s="27" customFormat="1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s="27" customFormat="1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s="27" customFormat="1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s="27" customFormat="1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s="27" customFormat="1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s="27" customFormat="1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s="27" customFormat="1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s="27" customFormat="1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s="27" customFormat="1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s="27" customFormat="1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s="27" customFormat="1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s="27" customFormat="1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s="27" customFormat="1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s="27" customFormat="1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s="27" customFormat="1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s="27" customFormat="1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s="27" customFormat="1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s="27" customFormat="1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s="27" customFormat="1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s="27" customFormat="1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s="27" customFormat="1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s="27" customFormat="1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s="27" customFormat="1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s="27" customFormat="1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s="27" customFormat="1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s="27" customFormat="1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s="27" customFormat="1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s="27" customFormat="1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s="27" customFormat="1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s="27" customFormat="1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s="27" customFormat="1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s="27" customFormat="1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s="27" customFormat="1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s="27" customFormat="1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s="27" customFormat="1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s="27" customFormat="1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s="27" customFormat="1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s="27" customFormat="1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s="27" customFormat="1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s="27" customFormat="1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s="27" customFormat="1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s="27" customFormat="1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s="27" customFormat="1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s="27" customFormat="1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s="27" customFormat="1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s="27" customFormat="1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s="27" customFormat="1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s="27" customFormat="1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s="27" customFormat="1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s="27" customFormat="1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s="27" customFormat="1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s="27" customFormat="1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s="27" customFormat="1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s="27" customFormat="1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s="27" customFormat="1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s="27" customFormat="1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s="27" customFormat="1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s="27" customFormat="1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s="27" customFormat="1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s="27" customFormat="1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s="27" customFormat="1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s="27" customFormat="1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s="27" customFormat="1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s="27" customFormat="1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s="27" customFormat="1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s="27" customFormat="1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s="27" customFormat="1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s="27" customFormat="1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s="27" customFormat="1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s="27" customFormat="1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s="27" customFormat="1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s="27" customFormat="1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s="27" customFormat="1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s="27" customFormat="1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s="27" customFormat="1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s="27" customFormat="1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s="27" customFormat="1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s="27" customFormat="1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s="27" customFormat="1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s="27" customFormat="1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s="27" customFormat="1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s="27" customFormat="1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s="27" customFormat="1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s="27" customFormat="1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s="27" customFormat="1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s="27" customFormat="1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s="27" customFormat="1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s="27" customFormat="1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s="27" customFormat="1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s="27" customFormat="1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s="27" customFormat="1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s="27" customFormat="1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s="27" customFormat="1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s="27" customFormat="1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s="27" customFormat="1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s="27" customFormat="1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s="27" customFormat="1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s="27" customFormat="1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s="27" customFormat="1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s="27" customFormat="1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s="27" customFormat="1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s="27" customFormat="1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s="27" customFormat="1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s="27" customFormat="1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s="27" customFormat="1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s="27" customFormat="1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s="27" customFormat="1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s="27" customFormat="1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s="27" customFormat="1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s="27" customFormat="1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s="27" customFormat="1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s="27" customFormat="1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s="27" customFormat="1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s="27" customFormat="1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s="27" customFormat="1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s="27" customFormat="1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s="27" customFormat="1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s="27" customFormat="1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s="27" customFormat="1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s="27" customFormat="1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s="27" customFormat="1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s="27" customFormat="1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s="27" customFormat="1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s="27" customFormat="1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s="27" customFormat="1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s="27" customFormat="1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s="27" customFormat="1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s="27" customFormat="1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s="27" customFormat="1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s="27" customFormat="1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s="27" customFormat="1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s="27" customFormat="1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s="27" customFormat="1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s="27" customFormat="1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s="27" customFormat="1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s="27" customFormat="1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s="27" customFormat="1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s="27" customFormat="1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s="27" customFormat="1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s="27" customFormat="1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s="27" customFormat="1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s="27" customFormat="1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s="27" customFormat="1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s="27" customFormat="1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00"/>
  <sheetViews>
    <sheetView workbookViewId="0"/>
  </sheetViews>
  <sheetFormatPr defaultColWidth="14.42578125" defaultRowHeight="12.75" x14ac:dyDescent="0.2"/>
  <cols>
    <col min="1" max="6" width="12.5703125" style="27" customWidth="1"/>
  </cols>
  <sheetData>
    <row r="1" spans="1:11" s="27" customFormat="1" ht="15.75" customHeight="1" x14ac:dyDescent="0.2">
      <c r="A1" s="6" t="s">
        <v>305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s="27" customFormat="1" ht="15.75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s="27" customFormat="1" ht="15.75" customHeight="1" x14ac:dyDescent="0.2">
      <c r="A3" s="6" t="s">
        <v>306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s="27" customFormat="1" ht="15.75" customHeigh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s="27" customFormat="1" ht="15.75" customHeight="1" x14ac:dyDescent="0.2">
      <c r="A5" s="6" t="s">
        <v>307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s="27" customFormat="1" ht="15.7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s="27" customFormat="1" ht="15.75" customHeight="1" x14ac:dyDescent="0.2">
      <c r="A7" s="6" t="s">
        <v>308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s="27" customFormat="1" ht="15.75" customHeight="1" x14ac:dyDescent="0.2">
      <c r="A8" s="23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s="27" customFormat="1" ht="15.75" customHeight="1" x14ac:dyDescent="0.2">
      <c r="A9" s="23" t="s">
        <v>309</v>
      </c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s="27" customFormat="1" ht="15.75" customHeight="1" x14ac:dyDescent="0.2">
      <c r="A10" s="23" t="s">
        <v>310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s="27" customFormat="1" ht="15.75" customHeight="1" x14ac:dyDescent="0.2">
      <c r="A11" s="23" t="s">
        <v>311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s="27" customFormat="1" ht="15.75" customHeight="1" x14ac:dyDescent="0.2">
      <c r="A12" s="23" t="s">
        <v>312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s="27" customFormat="1" ht="15.75" customHeight="1" x14ac:dyDescent="0.2">
      <c r="A13" s="23" t="s">
        <v>313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s="27" customFormat="1" ht="15.75" customHeight="1" x14ac:dyDescent="0.2">
      <c r="A14" s="23" t="s">
        <v>314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s="27" customFormat="1" ht="15.75" customHeight="1" x14ac:dyDescent="0.2">
      <c r="A15" s="23" t="s">
        <v>315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s="27" customFormat="1" ht="15.75" customHeight="1" x14ac:dyDescent="0.2">
      <c r="A16" s="23" t="s">
        <v>316</v>
      </c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s="27" customFormat="1" ht="15.75" customHeight="1" x14ac:dyDescent="0.2">
      <c r="A17" s="23" t="s">
        <v>317</v>
      </c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s="27" customFormat="1" ht="15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s="27" customFormat="1" ht="15.75" customHeight="1" x14ac:dyDescent="0.2">
      <c r="A19" s="6" t="s">
        <v>318</v>
      </c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s="27" customFormat="1" ht="15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s="27" customFormat="1" ht="15.75" customHeight="1" x14ac:dyDescent="0.2">
      <c r="A21" s="6" t="s">
        <v>319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s="27" customFormat="1" ht="15.75" customHeight="1" x14ac:dyDescent="0.2">
      <c r="A22" s="23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s="27" customFormat="1" ht="15.75" customHeight="1" x14ac:dyDescent="0.2">
      <c r="A23" s="23" t="s">
        <v>320</v>
      </c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s="27" customFormat="1" ht="15.75" customHeight="1" x14ac:dyDescent="0.2">
      <c r="A24" s="23" t="s">
        <v>321</v>
      </c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s="27" customFormat="1" ht="15.75" customHeight="1" x14ac:dyDescent="0.2">
      <c r="A25" s="23" t="s">
        <v>322</v>
      </c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s="27" customFormat="1" ht="15.75" customHeight="1" x14ac:dyDescent="0.2">
      <c r="A26" s="23" t="s">
        <v>323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s="27" customFormat="1" ht="15.75" customHeight="1" x14ac:dyDescent="0.2">
      <c r="A27" s="23" t="s">
        <v>324</v>
      </c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s="27" customFormat="1" ht="15.75" customHeight="1" x14ac:dyDescent="0.2">
      <c r="A28" s="23" t="s">
        <v>325</v>
      </c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s="27" customFormat="1" ht="15.75" customHeight="1" x14ac:dyDescent="0.2">
      <c r="A29" s="23" t="s">
        <v>326</v>
      </c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s="27" customFormat="1" ht="15.75" customHeight="1" x14ac:dyDescent="0.2">
      <c r="A30" s="23" t="s">
        <v>327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s="27" customFormat="1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s="27" customFormat="1" ht="15.75" customHeight="1" x14ac:dyDescent="0.2">
      <c r="A32" s="6" t="s">
        <v>328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s="27" customFormat="1" ht="15.75" customHeight="1" x14ac:dyDescent="0.2">
      <c r="A33" s="23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s="27" customFormat="1" ht="15.75" customHeight="1" x14ac:dyDescent="0.2">
      <c r="A34" s="23" t="s">
        <v>329</v>
      </c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s="27" customFormat="1" ht="15.75" customHeight="1" x14ac:dyDescent="0.2">
      <c r="A35" s="23" t="s">
        <v>330</v>
      </c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s="27" customFormat="1" ht="15.75" customHeight="1" x14ac:dyDescent="0.2">
      <c r="A36" s="23" t="s">
        <v>331</v>
      </c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s="27" customFormat="1" ht="15.75" customHeight="1" x14ac:dyDescent="0.2">
      <c r="A37" s="23" t="s">
        <v>332</v>
      </c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s="27" customFormat="1" ht="15.75" customHeight="1" x14ac:dyDescent="0.2">
      <c r="A38" s="23" t="s">
        <v>333</v>
      </c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s="27" customFormat="1" ht="15.75" customHeight="1" x14ac:dyDescent="0.2">
      <c r="A39" s="23" t="s">
        <v>334</v>
      </c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s="27" customFormat="1" ht="15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s="27" customFormat="1" ht="15.75" customHeight="1" x14ac:dyDescent="0.2">
      <c r="A41" s="6" t="s">
        <v>335</v>
      </c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s="27" customFormat="1" ht="15.75" customHeight="1" x14ac:dyDescent="0.2">
      <c r="A42" s="23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s="27" customFormat="1" ht="15.75" customHeight="1" x14ac:dyDescent="0.2">
      <c r="A43" s="23" t="s">
        <v>336</v>
      </c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s="27" customFormat="1" ht="15.75" customHeight="1" x14ac:dyDescent="0.2">
      <c r="A44" s="23" t="s">
        <v>337</v>
      </c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s="27" customFormat="1" ht="15.75" customHeight="1" x14ac:dyDescent="0.2">
      <c r="A45" s="23" t="s">
        <v>338</v>
      </c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s="27" customFormat="1" ht="15.75" customHeight="1" x14ac:dyDescent="0.2">
      <c r="A46" s="23" t="s">
        <v>339</v>
      </c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s="27" customFormat="1" ht="15.75" customHeight="1" x14ac:dyDescent="0.2">
      <c r="A47" s="23" t="s">
        <v>340</v>
      </c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s="27" customFormat="1" ht="15.75" customHeight="1" x14ac:dyDescent="0.2">
      <c r="A48" s="23" t="s">
        <v>341</v>
      </c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s="27" customFormat="1" ht="15.75" customHeight="1" x14ac:dyDescent="0.2">
      <c r="A49" s="23" t="s">
        <v>342</v>
      </c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s="27" customFormat="1" ht="15.75" customHeight="1" x14ac:dyDescent="0.2">
      <c r="A50" s="23" t="s">
        <v>343</v>
      </c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s="27" customFormat="1" ht="15.75" customHeight="1" x14ac:dyDescent="0.2">
      <c r="A51" s="23" t="s">
        <v>344</v>
      </c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s="27" customFormat="1" ht="15.75" customHeight="1" x14ac:dyDescent="0.2">
      <c r="A52" s="23" t="s">
        <v>345</v>
      </c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s="27" customFormat="1" ht="15.75" customHeight="1" x14ac:dyDescent="0.2">
      <c r="A53" s="23" t="s">
        <v>346</v>
      </c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s="27" customFormat="1" ht="15.75" customHeight="1" x14ac:dyDescent="0.2">
      <c r="A54" s="23" t="s">
        <v>347</v>
      </c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s="27" customFormat="1" ht="15.75" customHeight="1" x14ac:dyDescent="0.2">
      <c r="A55" s="23" t="s">
        <v>348</v>
      </c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s="27" customFormat="1" ht="15.75" customHeight="1" x14ac:dyDescent="0.2">
      <c r="A56" s="23" t="s">
        <v>349</v>
      </c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s="27" customFormat="1" ht="15.75" customHeight="1" x14ac:dyDescent="0.2">
      <c r="A57" s="23" t="s">
        <v>350</v>
      </c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s="27" customFormat="1" ht="15.75" customHeight="1" x14ac:dyDescent="0.2">
      <c r="A58" s="23" t="s">
        <v>351</v>
      </c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s="27" customFormat="1" ht="15.75" customHeight="1" x14ac:dyDescent="0.2">
      <c r="A59" s="23" t="s">
        <v>352</v>
      </c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s="27" customFormat="1" ht="15.75" customHeight="1" x14ac:dyDescent="0.2">
      <c r="A60" s="23" t="s">
        <v>353</v>
      </c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s="27" customFormat="1" ht="15.75" customHeight="1" x14ac:dyDescent="0.2">
      <c r="A61" s="23" t="s">
        <v>354</v>
      </c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s="27" customFormat="1" ht="15.75" customHeight="1" x14ac:dyDescent="0.2">
      <c r="A62" s="23" t="s">
        <v>355</v>
      </c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s="27" customFormat="1" ht="15.75" customHeight="1" x14ac:dyDescent="0.2">
      <c r="A63" s="23" t="s">
        <v>356</v>
      </c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s="27" customFormat="1" ht="15.75" customHeight="1" x14ac:dyDescent="0.2">
      <c r="A64" s="23" t="s">
        <v>357</v>
      </c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s="27" customFormat="1" ht="15.75" customHeight="1" x14ac:dyDescent="0.2">
      <c r="A65" s="23" t="s">
        <v>358</v>
      </c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s="27" customFormat="1" ht="15.75" customHeight="1" x14ac:dyDescent="0.2">
      <c r="A66" s="23" t="s">
        <v>359</v>
      </c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s="27" customFormat="1" ht="15.75" customHeight="1" x14ac:dyDescent="0.2">
      <c r="A67" s="23" t="s">
        <v>360</v>
      </c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s="27" customFormat="1" ht="15.75" customHeight="1" x14ac:dyDescent="0.2">
      <c r="A68" s="23" t="s">
        <v>361</v>
      </c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s="27" customFormat="1" ht="15.75" customHeight="1" x14ac:dyDescent="0.2">
      <c r="A69" s="23" t="s">
        <v>362</v>
      </c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s="27" customFormat="1" ht="15.75" customHeight="1" x14ac:dyDescent="0.2">
      <c r="A70" s="23" t="s">
        <v>363</v>
      </c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s="27" customFormat="1" ht="15.75" customHeight="1" x14ac:dyDescent="0.2">
      <c r="A71" s="23" t="s">
        <v>364</v>
      </c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s="27" customFormat="1" ht="15.75" customHeight="1" x14ac:dyDescent="0.2">
      <c r="A72" s="23" t="s">
        <v>365</v>
      </c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s="27" customFormat="1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s="27" customFormat="1" ht="15.75" customHeight="1" x14ac:dyDescent="0.2">
      <c r="A74" s="6" t="s">
        <v>366</v>
      </c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s="27" customFormat="1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s="27" customFormat="1" ht="15.75" customHeight="1" x14ac:dyDescent="0.2">
      <c r="A76" s="6" t="s">
        <v>367</v>
      </c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s="27" customFormat="1" ht="15.75" customHeight="1" x14ac:dyDescent="0.2">
      <c r="A77" s="23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s="27" customFormat="1" ht="15.75" customHeight="1" x14ac:dyDescent="0.2">
      <c r="A78" s="23" t="s">
        <v>368</v>
      </c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s="27" customFormat="1" ht="15.75" customHeight="1" x14ac:dyDescent="0.2">
      <c r="A79" s="23" t="s">
        <v>369</v>
      </c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s="27" customFormat="1" ht="15.75" customHeight="1" x14ac:dyDescent="0.2">
      <c r="A80" s="23" t="s">
        <v>370</v>
      </c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s="27" customFormat="1" ht="15.75" customHeight="1" x14ac:dyDescent="0.2">
      <c r="A81" s="23" t="s">
        <v>371</v>
      </c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s="27" customFormat="1" ht="15.75" customHeight="1" x14ac:dyDescent="0.2">
      <c r="A82" s="23" t="s">
        <v>372</v>
      </c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s="27" customFormat="1" ht="15.75" customHeight="1" x14ac:dyDescent="0.2">
      <c r="A83" s="23" t="s">
        <v>373</v>
      </c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s="27" customFormat="1" ht="15.75" customHeight="1" x14ac:dyDescent="0.2">
      <c r="A84" s="23" t="s">
        <v>374</v>
      </c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s="27" customFormat="1" ht="15.75" customHeight="1" x14ac:dyDescent="0.2">
      <c r="A85" s="23" t="s">
        <v>375</v>
      </c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s="27" customFormat="1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s="27" customFormat="1" ht="15.75" customHeight="1" x14ac:dyDescent="0.2">
      <c r="A87" s="6" t="s">
        <v>376</v>
      </c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s="27" customFormat="1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s="27" customFormat="1" ht="15.75" customHeight="1" x14ac:dyDescent="0.2">
      <c r="A89" s="6" t="s">
        <v>377</v>
      </c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s="27" customFormat="1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s="27" customFormat="1" ht="15.75" customHeight="1" x14ac:dyDescent="0.2">
      <c r="A91" s="6" t="s">
        <v>378</v>
      </c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s="27" customFormat="1" ht="15.75" customHeight="1" x14ac:dyDescent="0.2">
      <c r="A92" s="23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s="27" customFormat="1" ht="15.75" customHeight="1" x14ac:dyDescent="0.2">
      <c r="A93" s="23" t="s">
        <v>379</v>
      </c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s="27" customFormat="1" ht="15.75" customHeight="1" x14ac:dyDescent="0.2">
      <c r="A94" s="23" t="s">
        <v>380</v>
      </c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s="27" customFormat="1" ht="15.75" customHeight="1" x14ac:dyDescent="0.2">
      <c r="A95" s="23" t="s">
        <v>381</v>
      </c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s="27" customFormat="1" ht="15.75" customHeight="1" x14ac:dyDescent="0.2">
      <c r="A96" s="23" t="s">
        <v>382</v>
      </c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s="27" customFormat="1" ht="15.75" customHeight="1" x14ac:dyDescent="0.2">
      <c r="A97" s="23" t="s">
        <v>383</v>
      </c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s="27" customFormat="1" ht="15.75" customHeight="1" x14ac:dyDescent="0.2">
      <c r="A98" s="23" t="s">
        <v>384</v>
      </c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s="27" customFormat="1" ht="15.75" customHeight="1" x14ac:dyDescent="0.2">
      <c r="A99" s="23" t="s">
        <v>385</v>
      </c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s="27" customFormat="1" ht="15.75" customHeight="1" x14ac:dyDescent="0.2">
      <c r="A100" s="23" t="s">
        <v>386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s="27" customFormat="1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s="27" customFormat="1" ht="12.75" customHeight="1" x14ac:dyDescent="0.2">
      <c r="A102" s="6" t="s">
        <v>387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s="27" customFormat="1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s="27" customFormat="1" ht="12.75" customHeight="1" x14ac:dyDescent="0.2">
      <c r="A104" s="6" t="s">
        <v>388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s="27" customFormat="1" ht="12.75" customHeight="1" x14ac:dyDescent="0.2">
      <c r="A105" s="23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s="27" customFormat="1" ht="12.75" customHeight="1" x14ac:dyDescent="0.2">
      <c r="A106" s="23" t="s">
        <v>389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s="27" customFormat="1" ht="12.75" customHeight="1" x14ac:dyDescent="0.2">
      <c r="A107" s="23" t="s">
        <v>390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s="27" customFormat="1" ht="12.75" customHeight="1" x14ac:dyDescent="0.2">
      <c r="A108" s="23" t="s">
        <v>391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s="27" customFormat="1" ht="12.75" customHeight="1" x14ac:dyDescent="0.2">
      <c r="A109" s="23" t="s">
        <v>392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s="27" customFormat="1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s="27" customFormat="1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s="27" customFormat="1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s="27" customFormat="1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s="27" customFormat="1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s="27" customFormat="1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s="27" customFormat="1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s="27" customFormat="1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s="27" customFormat="1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s="27" customFormat="1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s="27" customFormat="1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s="27" customFormat="1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s="27" customFormat="1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s="27" customFormat="1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s="27" customFormat="1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s="27" customFormat="1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s="27" customFormat="1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s="27" customFormat="1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s="27" customFormat="1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s="27" customFormat="1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s="27" customFormat="1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s="27" customFormat="1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s="27" customFormat="1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s="27" customFormat="1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s="27" customFormat="1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s="27" customFormat="1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s="27" customFormat="1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s="27" customFormat="1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s="27" customFormat="1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s="27" customFormat="1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s="27" customFormat="1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s="27" customFormat="1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s="27" customFormat="1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s="27" customFormat="1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s="27" customFormat="1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s="27" customFormat="1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s="27" customFormat="1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s="27" customFormat="1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s="27" customFormat="1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s="27" customFormat="1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s="27" customFormat="1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s="27" customFormat="1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s="27" customFormat="1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s="27" customFormat="1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s="27" customFormat="1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s="27" customFormat="1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s="27" customFormat="1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s="27" customFormat="1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s="27" customFormat="1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s="27" customFormat="1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s="27" customFormat="1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s="27" customFormat="1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s="27" customFormat="1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s="27" customFormat="1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s="27" customFormat="1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s="27" customFormat="1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s="27" customFormat="1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s="27" customFormat="1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s="27" customFormat="1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s="27" customFormat="1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s="27" customFormat="1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s="27" customFormat="1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s="27" customFormat="1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s="27" customFormat="1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s="27" customFormat="1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s="27" customFormat="1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s="27" customFormat="1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s="27" customFormat="1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s="27" customFormat="1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s="27" customFormat="1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s="27" customFormat="1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s="27" customFormat="1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s="27" customFormat="1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s="27" customFormat="1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s="27" customFormat="1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s="27" customFormat="1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s="27" customFormat="1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s="27" customFormat="1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s="27" customFormat="1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s="27" customFormat="1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s="27" customFormat="1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s="27" customFormat="1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s="27" customFormat="1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s="27" customFormat="1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s="27" customFormat="1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s="27" customFormat="1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s="27" customFormat="1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s="27" customFormat="1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s="27" customFormat="1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s="27" customFormat="1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s="27" customFormat="1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s="27" customFormat="1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s="27" customFormat="1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s="27" customFormat="1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s="27" customFormat="1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s="27" customFormat="1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s="27" customFormat="1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s="27" customFormat="1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s="27" customFormat="1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s="27" customFormat="1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s="27" customFormat="1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s="27" customFormat="1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s="27" customFormat="1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s="27" customFormat="1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s="27" customFormat="1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s="27" customFormat="1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s="27" customFormat="1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s="27" customFormat="1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s="27" customFormat="1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s="27" customFormat="1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s="27" customFormat="1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s="27" customFormat="1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s="27" customFormat="1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s="27" customFormat="1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s="27" customFormat="1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s="27" customFormat="1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s="27" customFormat="1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s="27" customFormat="1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s="27" customFormat="1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s="27" customFormat="1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s="27" customFormat="1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s="27" customFormat="1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s="27" customFormat="1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s="27" customFormat="1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s="27" customFormat="1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s="27" customFormat="1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s="27" customFormat="1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s="27" customFormat="1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s="27" customFormat="1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s="27" customFormat="1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s="27" customFormat="1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s="27" customFormat="1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s="27" customFormat="1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s="27" customFormat="1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s="27" customFormat="1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s="27" customFormat="1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s="27" customFormat="1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s="27" customFormat="1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s="27" customFormat="1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s="27" customFormat="1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s="27" customFormat="1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s="27" customFormat="1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s="27" customFormat="1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s="27" customFormat="1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s="27" customFormat="1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s="27" customFormat="1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s="27" customFormat="1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s="27" customFormat="1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s="27" customFormat="1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s="27" customFormat="1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s="27" customFormat="1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s="27" customFormat="1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s="27" customFormat="1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s="27" customFormat="1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s="27" customFormat="1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s="27" customFormat="1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s="27" customFormat="1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s="27" customFormat="1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s="27" customFormat="1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s="27" customFormat="1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s="27" customFormat="1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s="27" customFormat="1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s="27" customFormat="1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s="27" customFormat="1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s="27" customFormat="1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s="27" customFormat="1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s="27" customFormat="1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s="27" customFormat="1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s="27" customFormat="1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s="27" customFormat="1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s="27" customFormat="1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s="27" customFormat="1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s="27" customFormat="1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s="27" customFormat="1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s="27" customFormat="1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s="27" customFormat="1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s="27" customFormat="1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s="27" customFormat="1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s="27" customFormat="1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s="27" customFormat="1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s="27" customFormat="1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s="27" customFormat="1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s="27" customFormat="1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s="27" customFormat="1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s="27" customFormat="1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s="27" customFormat="1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s="27" customFormat="1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s="27" customFormat="1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s="27" customFormat="1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s="27" customFormat="1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s="27" customFormat="1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s="27" customFormat="1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s="27" customFormat="1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s="27" customFormat="1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s="27" customFormat="1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s="27" customFormat="1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s="27" customFormat="1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s="27" customFormat="1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s="27" customFormat="1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s="27" customFormat="1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s="27" customFormat="1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s="27" customFormat="1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s="27" customFormat="1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s="27" customFormat="1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s="27" customFormat="1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s="27" customFormat="1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s="27" customFormat="1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s="27" customFormat="1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s="27" customFormat="1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s="27" customFormat="1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s="27" customFormat="1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s="27" customFormat="1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s="27" customFormat="1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s="27" customFormat="1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s="27" customFormat="1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s="27" customFormat="1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s="27" customFormat="1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s="27" customFormat="1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s="27" customFormat="1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s="27" customFormat="1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s="27" customFormat="1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s="27" customFormat="1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s="27" customFormat="1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s="27" customFormat="1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s="27" customFormat="1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s="27" customFormat="1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s="27" customFormat="1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s="27" customFormat="1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s="27" customFormat="1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s="27" customFormat="1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s="27" customFormat="1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s="27" customFormat="1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s="27" customFormat="1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s="27" customFormat="1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s="27" customFormat="1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s="27" customFormat="1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s="27" customFormat="1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s="27" customFormat="1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s="27" customFormat="1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s="27" customFormat="1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s="27" customFormat="1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s="27" customFormat="1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s="27" customFormat="1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s="27" customFormat="1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s="27" customFormat="1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s="27" customFormat="1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s="27" customFormat="1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s="27" customFormat="1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s="27" customFormat="1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s="27" customFormat="1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s="27" customFormat="1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s="27" customFormat="1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s="27" customFormat="1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s="27" customFormat="1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s="27" customFormat="1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s="27" customFormat="1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s="27" customFormat="1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s="27" customFormat="1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s="27" customFormat="1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s="27" customFormat="1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s="27" customFormat="1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s="27" customFormat="1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s="27" customFormat="1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s="27" customFormat="1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s="27" customFormat="1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s="27" customFormat="1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s="27" customFormat="1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s="27" customFormat="1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s="27" customFormat="1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s="27" customFormat="1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s="27" customFormat="1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s="27" customFormat="1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s="27" customFormat="1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s="27" customFormat="1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s="27" customFormat="1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s="27" customFormat="1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s="27" customFormat="1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s="27" customFormat="1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s="27" customFormat="1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s="27" customFormat="1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s="27" customFormat="1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s="27" customFormat="1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s="27" customFormat="1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s="27" customFormat="1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s="27" customFormat="1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s="27" customFormat="1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s="27" customFormat="1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s="27" customFormat="1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s="27" customFormat="1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s="27" customFormat="1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s="27" customFormat="1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s="27" customFormat="1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s="27" customFormat="1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s="27" customFormat="1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s="27" customFormat="1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s="27" customFormat="1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s="27" customFormat="1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s="27" customFormat="1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s="27" customFormat="1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s="27" customFormat="1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s="27" customFormat="1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s="27" customFormat="1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s="27" customFormat="1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s="27" customFormat="1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s="27" customFormat="1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s="27" customFormat="1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s="27" customFormat="1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s="27" customFormat="1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s="27" customFormat="1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s="27" customFormat="1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s="27" customFormat="1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s="27" customFormat="1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s="27" customFormat="1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s="27" customFormat="1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s="27" customFormat="1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s="27" customFormat="1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s="27" customFormat="1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s="27" customFormat="1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s="27" customFormat="1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s="27" customFormat="1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s="27" customFormat="1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s="27" customFormat="1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s="27" customFormat="1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s="27" customFormat="1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s="27" customFormat="1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s="27" customFormat="1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s="27" customFormat="1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s="27" customFormat="1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s="27" customFormat="1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s="27" customFormat="1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s="27" customFormat="1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s="27" customFormat="1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s="27" customFormat="1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s="27" customFormat="1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s="27" customFormat="1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s="27" customFormat="1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s="27" customFormat="1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s="27" customFormat="1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s="27" customFormat="1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s="27" customFormat="1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s="27" customFormat="1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s="27" customFormat="1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s="27" customFormat="1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s="27" customFormat="1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s="27" customFormat="1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s="27" customFormat="1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s="27" customFormat="1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s="27" customFormat="1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s="27" customFormat="1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s="27" customFormat="1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s="27" customFormat="1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s="27" customFormat="1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s="27" customFormat="1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s="27" customFormat="1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s="27" customFormat="1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s="27" customFormat="1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s="27" customFormat="1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s="27" customFormat="1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s="27" customFormat="1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s="27" customFormat="1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s="27" customFormat="1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s="27" customFormat="1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s="27" customFormat="1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s="27" customFormat="1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s="27" customFormat="1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s="27" customFormat="1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s="27" customFormat="1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s="27" customFormat="1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s="27" customFormat="1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s="27" customFormat="1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s="27" customFormat="1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s="27" customFormat="1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s="27" customFormat="1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s="27" customFormat="1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s="27" customFormat="1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s="27" customFormat="1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s="27" customFormat="1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s="27" customFormat="1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s="27" customFormat="1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s="27" customFormat="1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s="27" customFormat="1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s="27" customFormat="1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s="27" customFormat="1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s="27" customFormat="1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s="27" customFormat="1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s="27" customFormat="1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s="27" customFormat="1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s="27" customFormat="1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s="27" customFormat="1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s="27" customFormat="1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s="27" customFormat="1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s="27" customFormat="1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s="27" customFormat="1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s="27" customFormat="1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s="27" customFormat="1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s="27" customFormat="1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s="27" customFormat="1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s="27" customFormat="1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s="27" customFormat="1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s="27" customFormat="1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s="27" customFormat="1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s="27" customFormat="1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s="27" customFormat="1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s="27" customFormat="1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s="27" customFormat="1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s="27" customFormat="1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s="27" customFormat="1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s="27" customFormat="1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s="27" customFormat="1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s="27" customFormat="1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s="27" customFormat="1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s="27" customFormat="1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s="27" customFormat="1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s="27" customFormat="1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s="27" customFormat="1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s="27" customFormat="1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s="27" customFormat="1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s="27" customFormat="1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s="27" customFormat="1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s="27" customFormat="1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s="27" customFormat="1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s="27" customFormat="1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s="27" customFormat="1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s="27" customFormat="1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s="27" customFormat="1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s="27" customFormat="1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s="27" customFormat="1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s="27" customFormat="1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s="27" customFormat="1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s="27" customFormat="1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s="27" customFormat="1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s="27" customFormat="1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s="27" customFormat="1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s="27" customFormat="1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s="27" customFormat="1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s="27" customFormat="1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s="27" customFormat="1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s="27" customFormat="1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s="27" customFormat="1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s="27" customFormat="1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s="27" customFormat="1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s="27" customFormat="1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s="27" customFormat="1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s="27" customFormat="1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s="27" customFormat="1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s="27" customFormat="1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s="27" customFormat="1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s="27" customFormat="1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s="27" customFormat="1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s="27" customFormat="1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s="27" customFormat="1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s="27" customFormat="1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s="27" customFormat="1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s="27" customFormat="1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s="27" customFormat="1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s="27" customFormat="1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s="27" customFormat="1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s="27" customFormat="1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s="27" customFormat="1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s="27" customFormat="1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s="27" customFormat="1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s="27" customFormat="1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s="27" customFormat="1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s="27" customFormat="1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s="27" customFormat="1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s="27" customFormat="1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s="27" customFormat="1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s="27" customFormat="1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s="27" customFormat="1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s="27" customFormat="1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s="27" customFormat="1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s="27" customFormat="1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s="27" customFormat="1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s="27" customFormat="1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s="27" customFormat="1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s="27" customFormat="1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s="27" customFormat="1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s="27" customFormat="1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s="27" customFormat="1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s="27" customFormat="1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s="27" customFormat="1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s="27" customFormat="1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s="27" customFormat="1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s="27" customFormat="1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s="27" customFormat="1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s="27" customFormat="1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s="27" customFormat="1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s="27" customFormat="1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s="27" customFormat="1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s="27" customFormat="1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s="27" customFormat="1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s="27" customFormat="1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s="27" customFormat="1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s="27" customFormat="1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s="27" customFormat="1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s="27" customFormat="1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s="27" customFormat="1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s="27" customFormat="1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s="27" customFormat="1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s="27" customFormat="1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s="27" customFormat="1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s="27" customFormat="1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s="27" customFormat="1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s="27" customFormat="1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s="27" customFormat="1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s="27" customFormat="1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s="27" customFormat="1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s="27" customFormat="1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s="27" customFormat="1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s="27" customFormat="1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s="27" customFormat="1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s="27" customFormat="1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s="27" customFormat="1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s="27" customFormat="1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s="27" customFormat="1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s="27" customFormat="1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s="27" customFormat="1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s="27" customFormat="1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s="27" customFormat="1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s="27" customFormat="1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s="27" customFormat="1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s="27" customFormat="1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s="27" customFormat="1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s="27" customFormat="1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s="27" customFormat="1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s="27" customFormat="1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s="27" customFormat="1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s="27" customFormat="1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s="27" customFormat="1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s="27" customFormat="1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s="27" customFormat="1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s="27" customFormat="1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s="27" customFormat="1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s="27" customFormat="1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s="27" customFormat="1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s="27" customFormat="1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s="27" customFormat="1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s="27" customFormat="1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s="27" customFormat="1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s="27" customFormat="1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s="27" customFormat="1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s="27" customFormat="1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s="27" customFormat="1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s="27" customFormat="1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s="27" customFormat="1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s="27" customFormat="1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s="27" customFormat="1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s="27" customFormat="1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s="27" customFormat="1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s="27" customFormat="1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s="27" customFormat="1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s="27" customFormat="1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s="27" customFormat="1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s="27" customFormat="1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s="27" customFormat="1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s="27" customFormat="1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s="27" customFormat="1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s="27" customFormat="1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s="27" customFormat="1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s="27" customFormat="1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s="27" customFormat="1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s="27" customFormat="1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s="27" customFormat="1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s="27" customFormat="1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s="27" customFormat="1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s="27" customFormat="1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s="27" customFormat="1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s="27" customFormat="1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s="27" customFormat="1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s="27" customFormat="1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s="27" customFormat="1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s="27" customFormat="1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s="27" customFormat="1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s="27" customFormat="1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s="27" customFormat="1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s="27" customFormat="1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s="27" customFormat="1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s="27" customFormat="1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s="27" customFormat="1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s="27" customFormat="1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s="27" customFormat="1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s="27" customFormat="1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s="27" customFormat="1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s="27" customFormat="1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s="27" customFormat="1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s="27" customFormat="1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s="27" customFormat="1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s="27" customFormat="1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s="27" customFormat="1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s="27" customFormat="1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s="27" customFormat="1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s="27" customFormat="1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s="27" customFormat="1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s="27" customFormat="1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s="27" customFormat="1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s="27" customFormat="1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s="27" customFormat="1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s="27" customFormat="1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s="27" customFormat="1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s="27" customFormat="1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s="27" customFormat="1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s="27" customFormat="1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s="27" customFormat="1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s="27" customFormat="1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s="27" customFormat="1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s="27" customFormat="1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s="27" customFormat="1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s="27" customFormat="1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s="27" customFormat="1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s="27" customFormat="1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s="27" customFormat="1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s="27" customFormat="1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s="27" customFormat="1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s="27" customFormat="1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s="27" customFormat="1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s="27" customFormat="1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s="27" customFormat="1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s="27" customFormat="1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s="27" customFormat="1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s="27" customFormat="1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s="27" customFormat="1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s="27" customFormat="1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s="27" customFormat="1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s="27" customFormat="1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s="27" customFormat="1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s="27" customFormat="1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s="27" customFormat="1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s="27" customFormat="1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s="27" customFormat="1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s="27" customFormat="1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s="27" customFormat="1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s="27" customFormat="1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s="27" customFormat="1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s="27" customFormat="1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s="27" customFormat="1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s="27" customFormat="1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s="27" customFormat="1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s="27" customFormat="1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s="27" customFormat="1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s="27" customFormat="1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s="27" customFormat="1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s="27" customFormat="1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s="27" customFormat="1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s="27" customFormat="1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s="27" customFormat="1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s="27" customFormat="1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s="27" customFormat="1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s="27" customFormat="1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s="27" customFormat="1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s="27" customFormat="1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s="27" customFormat="1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s="27" customFormat="1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s="27" customFormat="1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s="27" customFormat="1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s="27" customFormat="1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s="27" customFormat="1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s="27" customFormat="1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s="27" customFormat="1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s="27" customFormat="1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s="27" customFormat="1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s="27" customFormat="1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s="27" customFormat="1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s="27" customFormat="1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s="27" customFormat="1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s="27" customFormat="1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s="27" customFormat="1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s="27" customFormat="1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s="27" customFormat="1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s="27" customFormat="1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s="27" customFormat="1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s="27" customFormat="1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s="27" customFormat="1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s="27" customFormat="1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s="27" customFormat="1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s="27" customFormat="1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s="27" customFormat="1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s="27" customFormat="1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s="27" customFormat="1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s="27" customFormat="1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s="27" customFormat="1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s="27" customFormat="1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s="27" customFormat="1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s="27" customFormat="1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s="27" customFormat="1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s="27" customFormat="1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s="27" customFormat="1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s="27" customFormat="1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s="27" customFormat="1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s="27" customFormat="1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s="27" customFormat="1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s="27" customFormat="1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s="27" customFormat="1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s="27" customFormat="1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s="27" customFormat="1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s="27" customFormat="1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s="27" customFormat="1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s="27" customFormat="1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s="27" customFormat="1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s="27" customFormat="1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s="27" customFormat="1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s="27" customFormat="1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s="27" customFormat="1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s="27" customFormat="1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s="27" customFormat="1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s="27" customFormat="1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s="27" customFormat="1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s="27" customFormat="1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s="27" customFormat="1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s="27" customFormat="1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s="27" customFormat="1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s="27" customFormat="1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s="27" customFormat="1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s="27" customFormat="1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s="27" customFormat="1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s="27" customFormat="1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s="27" customFormat="1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s="27" customFormat="1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s="27" customFormat="1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s="27" customFormat="1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s="27" customFormat="1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s="27" customFormat="1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s="27" customFormat="1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s="27" customFormat="1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s="27" customFormat="1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s="27" customFormat="1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s="27" customFormat="1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s="27" customFormat="1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s="27" customFormat="1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s="27" customFormat="1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s="27" customFormat="1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s="27" customFormat="1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s="27" customFormat="1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s="27" customFormat="1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s="27" customFormat="1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s="27" customFormat="1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s="27" customFormat="1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s="27" customFormat="1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s="27" customFormat="1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s="27" customFormat="1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s="27" customFormat="1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s="27" customFormat="1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s="27" customFormat="1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s="27" customFormat="1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s="27" customFormat="1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s="27" customFormat="1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s="27" customFormat="1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s="27" customFormat="1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s="27" customFormat="1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s="27" customFormat="1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s="27" customFormat="1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s="27" customFormat="1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s="27" customFormat="1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s="27" customFormat="1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s="27" customFormat="1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s="27" customFormat="1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s="27" customFormat="1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s="27" customFormat="1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s="27" customFormat="1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s="27" customFormat="1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s="27" customFormat="1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s="27" customFormat="1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s="27" customFormat="1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s="27" customFormat="1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s="27" customFormat="1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s="27" customFormat="1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s="27" customFormat="1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s="27" customFormat="1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s="27" customFormat="1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s="27" customFormat="1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s="27" customFormat="1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s="27" customFormat="1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s="27" customFormat="1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s="27" customFormat="1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s="27" customFormat="1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s="27" customFormat="1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s="27" customFormat="1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s="27" customFormat="1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s="27" customFormat="1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s="27" customFormat="1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s="27" customFormat="1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s="27" customFormat="1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s="27" customFormat="1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s="27" customFormat="1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s="27" customFormat="1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s="27" customFormat="1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s="27" customFormat="1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s="27" customFormat="1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s="27" customFormat="1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s="27" customFormat="1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s="27" customFormat="1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s="27" customFormat="1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s="27" customFormat="1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s="27" customFormat="1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s="27" customFormat="1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s="27" customFormat="1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s="27" customFormat="1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s="27" customFormat="1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s="27" customFormat="1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s="27" customFormat="1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s="27" customFormat="1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s="27" customFormat="1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s="27" customFormat="1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s="27" customFormat="1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s="27" customFormat="1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s="27" customFormat="1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s="27" customFormat="1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s="27" customFormat="1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s="27" customFormat="1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s="27" customFormat="1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s="27" customFormat="1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s="27" customFormat="1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s="27" customFormat="1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s="27" customFormat="1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s="27" customFormat="1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s="27" customFormat="1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s="27" customFormat="1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s="27" customFormat="1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s="27" customFormat="1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s="27" customFormat="1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s="27" customFormat="1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s="27" customFormat="1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s="27" customFormat="1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s="27" customFormat="1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s="27" customFormat="1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s="27" customFormat="1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s="27" customFormat="1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s="27" customFormat="1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s="27" customFormat="1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s="27" customFormat="1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s="27" customFormat="1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s="27" customFormat="1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s="27" customFormat="1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s="27" customFormat="1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s="27" customFormat="1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s="27" customFormat="1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s="27" customFormat="1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s="27" customFormat="1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s="27" customFormat="1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s="27" customFormat="1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s="27" customFormat="1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s="27" customFormat="1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s="27" customFormat="1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s="27" customFormat="1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s="27" customFormat="1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s="27" customFormat="1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s="27" customFormat="1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s="27" customFormat="1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s="27" customFormat="1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s="27" customFormat="1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s="27" customFormat="1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s="27" customFormat="1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s="27" customFormat="1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s="27" customFormat="1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s="27" customFormat="1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s="27" customFormat="1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s="27" customFormat="1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s="27" customFormat="1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s="27" customFormat="1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s="27" customFormat="1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s="27" customFormat="1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s="27" customFormat="1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s="27" customFormat="1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s="27" customFormat="1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s="27" customFormat="1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s="27" customFormat="1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s="27" customFormat="1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s="27" customFormat="1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s="27" customFormat="1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s="27" customFormat="1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s="27" customFormat="1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s="27" customFormat="1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s="27" customFormat="1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s="27" customFormat="1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s="27" customFormat="1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s="27" customFormat="1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s="27" customFormat="1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s="27" customFormat="1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s="27" customFormat="1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s="27" customFormat="1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s="27" customFormat="1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s="27" customFormat="1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s="27" customFormat="1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s="27" customFormat="1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s="27" customFormat="1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s="27" customFormat="1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s="27" customFormat="1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s="27" customFormat="1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s="27" customFormat="1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s="27" customFormat="1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s="27" customFormat="1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s="27" customFormat="1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00"/>
  <sheetViews>
    <sheetView workbookViewId="0"/>
  </sheetViews>
  <sheetFormatPr defaultColWidth="14.42578125" defaultRowHeight="12.75" x14ac:dyDescent="0.2"/>
  <cols>
    <col min="1" max="6" width="12.5703125" style="27" customWidth="1"/>
  </cols>
  <sheetData>
    <row r="1" spans="1:11" s="27" customFormat="1" ht="14.25" customHeight="1" x14ac:dyDescent="0.2">
      <c r="A1" s="25" t="s">
        <v>393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s="27" customFormat="1" ht="14.25" customHeight="1" x14ac:dyDescent="0.2">
      <c r="A2" s="25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s="27" customFormat="1" ht="14.25" customHeight="1" x14ac:dyDescent="0.2">
      <c r="A3" s="25" t="s">
        <v>394</v>
      </c>
      <c r="B3" s="2"/>
      <c r="C3" s="25" t="s">
        <v>395</v>
      </c>
      <c r="D3" s="2"/>
      <c r="E3" s="2"/>
      <c r="F3" s="2"/>
      <c r="G3" s="2"/>
      <c r="H3" s="2"/>
      <c r="I3" s="2"/>
      <c r="J3" s="2"/>
      <c r="K3" s="2"/>
    </row>
    <row r="4" spans="1:11" s="27" customFormat="1" ht="14.25" customHeight="1" x14ac:dyDescent="0.2">
      <c r="A4" s="25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s="27" customFormat="1" ht="14.25" customHeight="1" x14ac:dyDescent="0.2">
      <c r="A5" s="25" t="s">
        <v>396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s="27" customFormat="1" ht="14.2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s="27" customFormat="1" ht="14.25" customHeight="1" x14ac:dyDescent="0.2">
      <c r="A7" s="6" t="s">
        <v>397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s="27" customFormat="1" ht="14.25" customHeight="1" x14ac:dyDescent="0.2">
      <c r="A8" s="25" t="s">
        <v>398</v>
      </c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s="27" customFormat="1" ht="14.25" customHeight="1" x14ac:dyDescent="0.2">
      <c r="A9" s="25" t="s">
        <v>399</v>
      </c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s="27" customFormat="1" ht="14.25" customHeight="1" x14ac:dyDescent="0.2">
      <c r="A10" s="25" t="s">
        <v>400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s="27" customFormat="1" ht="14.2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s="27" customFormat="1" ht="14.2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s="27" customFormat="1" ht="14.2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s="27" customFormat="1" ht="14.2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s="27" customFormat="1" ht="14.2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s="27" customFormat="1" ht="14.2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s="27" customFormat="1" ht="14.2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s="27" customFormat="1" ht="14.2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s="27" customFormat="1" ht="14.2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s="27" customFormat="1" ht="14.25" customHeight="1" x14ac:dyDescent="0.2">
      <c r="A20" s="25" t="s">
        <v>401</v>
      </c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s="27" customFormat="1" ht="14.25" customHeight="1" x14ac:dyDescent="0.2">
      <c r="A21" s="25" t="s">
        <v>402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s="27" customFormat="1" ht="14.25" customHeight="1" x14ac:dyDescent="0.2">
      <c r="A22" s="25" t="s">
        <v>403</v>
      </c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s="27" customFormat="1" ht="14.25" customHeight="1" x14ac:dyDescent="0.2">
      <c r="A23" s="25" t="s">
        <v>404</v>
      </c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s="27" customFormat="1" ht="14.25" customHeight="1" x14ac:dyDescent="0.2">
      <c r="A24" s="18" t="s">
        <v>405</v>
      </c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s="27" customFormat="1" ht="14.2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s="27" customFormat="1" ht="14.2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s="27" customFormat="1" ht="14.2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s="27" customFormat="1" ht="14.2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s="27" customFormat="1" ht="14.2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s="27" customFormat="1" ht="14.2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s="27" customFormat="1" ht="14.2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s="27" customFormat="1" ht="14.2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s="27" customFormat="1" ht="14.2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s="27" customFormat="1" ht="15.75" customHeight="1" x14ac:dyDescent="0.25">
      <c r="A34" s="26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s="27" customFormat="1" ht="15.75" customHeight="1" x14ac:dyDescent="0.25">
      <c r="A35" s="26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s="27" customFormat="1" ht="15.75" customHeight="1" x14ac:dyDescent="0.25">
      <c r="A36" s="26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s="27" customFormat="1" ht="15.75" customHeight="1" x14ac:dyDescent="0.25">
      <c r="A37" s="26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s="27" customFormat="1" ht="18" customHeight="1" x14ac:dyDescent="0.25">
      <c r="A38" s="26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s="27" customFormat="1" ht="18" customHeight="1" x14ac:dyDescent="0.25">
      <c r="A39" s="26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s="27" customFormat="1" ht="18" customHeight="1" x14ac:dyDescent="0.25">
      <c r="A40" s="26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s="27" customFormat="1" ht="18" customHeight="1" x14ac:dyDescent="0.25">
      <c r="A41" s="26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s="27" customFormat="1" ht="18" customHeight="1" x14ac:dyDescent="0.25">
      <c r="A42" s="26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s="27" customFormat="1" ht="18" customHeight="1" x14ac:dyDescent="0.25">
      <c r="A43" s="26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s="27" customFormat="1" ht="18" customHeight="1" x14ac:dyDescent="0.25">
      <c r="A44" s="26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s="27" customFormat="1" ht="18" customHeight="1" x14ac:dyDescent="0.25">
      <c r="A45" s="26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s="27" customFormat="1" ht="18" customHeight="1" x14ac:dyDescent="0.25">
      <c r="A46" s="26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s="27" customFormat="1" ht="18" customHeight="1" x14ac:dyDescent="0.25">
      <c r="A47" s="26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s="27" customFormat="1" ht="18" customHeight="1" x14ac:dyDescent="0.25">
      <c r="A48" s="26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s="27" customFormat="1" ht="18" customHeight="1" x14ac:dyDescent="0.25">
      <c r="A49" s="26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s="27" customFormat="1" ht="18" customHeight="1" x14ac:dyDescent="0.25">
      <c r="A50" s="26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s="27" customFormat="1" ht="18" customHeight="1" x14ac:dyDescent="0.25">
      <c r="A51" s="26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s="27" customFormat="1" ht="18" customHeight="1" x14ac:dyDescent="0.25">
      <c r="A52" s="26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s="27" customFormat="1" ht="18" customHeight="1" x14ac:dyDescent="0.25">
      <c r="A53" s="26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s="27" customFormat="1" ht="18" customHeight="1" x14ac:dyDescent="0.25">
      <c r="A54" s="26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s="27" customFormat="1" ht="18" customHeight="1" x14ac:dyDescent="0.25">
      <c r="A55" s="26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s="27" customFormat="1" ht="18" customHeight="1" x14ac:dyDescent="0.25">
      <c r="A56" s="26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s="27" customFormat="1" ht="18" customHeight="1" x14ac:dyDescent="0.25">
      <c r="A57" s="26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s="27" customFormat="1" ht="18" customHeight="1" x14ac:dyDescent="0.25">
      <c r="A58" s="26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s="27" customFormat="1" ht="18" customHeight="1" x14ac:dyDescent="0.25">
      <c r="A59" s="26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s="27" customFormat="1" ht="18" customHeight="1" x14ac:dyDescent="0.25">
      <c r="A60" s="26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s="27" customFormat="1" ht="18" customHeight="1" x14ac:dyDescent="0.25">
      <c r="A61" s="26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s="27" customFormat="1" ht="18" customHeight="1" x14ac:dyDescent="0.25">
      <c r="A62" s="26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s="27" customFormat="1" ht="18" customHeight="1" x14ac:dyDescent="0.25">
      <c r="A63" s="26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s="27" customFormat="1" ht="18" customHeight="1" x14ac:dyDescent="0.25">
      <c r="A64" s="26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s="27" customFormat="1" ht="18" customHeight="1" x14ac:dyDescent="0.25">
      <c r="A65" s="26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s="27" customFormat="1" ht="18" customHeight="1" x14ac:dyDescent="0.25">
      <c r="A66" s="26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s="27" customFormat="1" ht="18" customHeight="1" x14ac:dyDescent="0.25">
      <c r="A67" s="26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s="27" customFormat="1" ht="18" customHeight="1" x14ac:dyDescent="0.25">
      <c r="A68" s="26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s="27" customFormat="1" ht="18" customHeight="1" x14ac:dyDescent="0.25">
      <c r="A69" s="26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s="27" customFormat="1" ht="18" customHeight="1" x14ac:dyDescent="0.25">
      <c r="A70" s="26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s="27" customFormat="1" ht="18" customHeight="1" x14ac:dyDescent="0.25">
      <c r="A71" s="26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s="27" customFormat="1" ht="18" customHeight="1" x14ac:dyDescent="0.25">
      <c r="A72" s="26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s="27" customFormat="1" ht="18" customHeight="1" x14ac:dyDescent="0.25">
      <c r="A73" s="26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s="27" customFormat="1" ht="18" customHeight="1" x14ac:dyDescent="0.25">
      <c r="A74" s="26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s="27" customFormat="1" ht="18" customHeight="1" x14ac:dyDescent="0.25">
      <c r="A75" s="26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s="27" customFormat="1" ht="18" customHeight="1" x14ac:dyDescent="0.25">
      <c r="A76" s="26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s="27" customFormat="1" ht="18" customHeight="1" x14ac:dyDescent="0.25">
      <c r="A77" s="26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s="27" customFormat="1" ht="18" customHeight="1" x14ac:dyDescent="0.25">
      <c r="A78" s="26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s="27" customFormat="1" ht="18" customHeight="1" x14ac:dyDescent="0.25">
      <c r="A79" s="26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s="27" customFormat="1" ht="18" customHeight="1" x14ac:dyDescent="0.25">
      <c r="A80" s="26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s="27" customFormat="1" ht="18" customHeight="1" x14ac:dyDescent="0.25">
      <c r="A81" s="26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s="27" customFormat="1" ht="18" customHeight="1" x14ac:dyDescent="0.25">
      <c r="A82" s="26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s="27" customFormat="1" ht="18" customHeight="1" x14ac:dyDescent="0.25">
      <c r="A83" s="26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s="27" customFormat="1" ht="18" customHeight="1" x14ac:dyDescent="0.25">
      <c r="A84" s="26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s="27" customFormat="1" ht="18" customHeight="1" x14ac:dyDescent="0.25">
      <c r="A85" s="26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s="27" customFormat="1" ht="18" customHeight="1" x14ac:dyDescent="0.25">
      <c r="A86" s="26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s="27" customFormat="1" ht="18" customHeight="1" x14ac:dyDescent="0.25">
      <c r="A87" s="26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s="27" customFormat="1" ht="18" customHeight="1" x14ac:dyDescent="0.25">
      <c r="A88" s="26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s="27" customFormat="1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s="27" customFormat="1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s="27" customFormat="1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s="27" customFormat="1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s="27" customFormat="1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s="27" customFormat="1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s="27" customFormat="1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s="27" customFormat="1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s="27" customFormat="1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s="27" customFormat="1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s="27" customFormat="1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s="27" customFormat="1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s="27" customFormat="1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s="27" customFormat="1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s="27" customFormat="1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s="27" customFormat="1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s="27" customFormat="1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s="27" customFormat="1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s="27" customFormat="1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s="27" customFormat="1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s="27" customFormat="1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s="27" customFormat="1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s="27" customFormat="1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s="27" customFormat="1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s="27" customFormat="1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s="27" customFormat="1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s="27" customFormat="1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s="27" customFormat="1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s="27" customFormat="1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s="27" customFormat="1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s="27" customFormat="1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s="27" customFormat="1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s="27" customFormat="1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s="27" customFormat="1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s="27" customFormat="1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s="27" customFormat="1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s="27" customFormat="1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s="27" customFormat="1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s="27" customFormat="1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s="27" customFormat="1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s="27" customFormat="1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s="27" customFormat="1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s="27" customFormat="1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s="27" customFormat="1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s="27" customFormat="1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s="27" customFormat="1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s="27" customFormat="1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s="27" customFormat="1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s="27" customFormat="1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s="27" customFormat="1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s="27" customFormat="1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s="27" customFormat="1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s="27" customFormat="1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s="27" customFormat="1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s="27" customFormat="1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s="27" customFormat="1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s="27" customFormat="1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s="27" customFormat="1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s="27" customFormat="1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s="27" customFormat="1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s="27" customFormat="1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s="27" customFormat="1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s="27" customFormat="1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s="27" customFormat="1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s="27" customFormat="1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s="27" customFormat="1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s="27" customFormat="1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s="27" customFormat="1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s="27" customFormat="1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s="27" customFormat="1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s="27" customFormat="1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s="27" customFormat="1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s="27" customFormat="1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s="27" customFormat="1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s="27" customFormat="1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s="27" customFormat="1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s="27" customFormat="1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s="27" customFormat="1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s="27" customFormat="1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s="27" customFormat="1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s="27" customFormat="1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s="27" customFormat="1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s="27" customFormat="1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s="27" customFormat="1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s="27" customFormat="1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s="27" customFormat="1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s="27" customFormat="1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s="27" customFormat="1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s="27" customFormat="1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s="27" customFormat="1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s="27" customFormat="1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s="27" customFormat="1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s="27" customFormat="1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s="27" customFormat="1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s="27" customFormat="1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s="27" customFormat="1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s="27" customFormat="1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s="27" customFormat="1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s="27" customFormat="1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s="27" customFormat="1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s="27" customFormat="1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s="27" customFormat="1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s="27" customFormat="1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s="27" customFormat="1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s="27" customFormat="1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s="27" customFormat="1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s="27" customFormat="1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s="27" customFormat="1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s="27" customFormat="1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s="27" customFormat="1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s="27" customFormat="1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s="27" customFormat="1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s="27" customFormat="1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s="27" customFormat="1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s="27" customFormat="1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s="27" customFormat="1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s="27" customFormat="1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s="27" customFormat="1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s="27" customFormat="1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s="27" customFormat="1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s="27" customFormat="1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s="27" customFormat="1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s="27" customFormat="1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s="27" customFormat="1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s="27" customFormat="1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s="27" customFormat="1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s="27" customFormat="1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s="27" customFormat="1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s="27" customFormat="1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s="27" customFormat="1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s="27" customFormat="1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s="27" customFormat="1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s="27" customFormat="1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s="27" customFormat="1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s="27" customFormat="1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s="27" customFormat="1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s="27" customFormat="1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s="27" customFormat="1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s="27" customFormat="1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s="27" customFormat="1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s="27" customFormat="1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s="27" customFormat="1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s="27" customFormat="1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s="27" customFormat="1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s="27" customFormat="1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s="27" customFormat="1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s="27" customFormat="1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s="27" customFormat="1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s="27" customFormat="1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s="27" customFormat="1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s="27" customFormat="1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s="27" customFormat="1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s="27" customFormat="1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s="27" customFormat="1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s="27" customFormat="1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s="27" customFormat="1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s="27" customFormat="1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s="27" customFormat="1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s="27" customFormat="1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s="27" customFormat="1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s="27" customFormat="1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s="27" customFormat="1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s="27" customFormat="1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s="27" customFormat="1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s="27" customFormat="1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s="27" customFormat="1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s="27" customFormat="1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s="27" customFormat="1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s="27" customFormat="1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s="27" customFormat="1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s="27" customFormat="1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s="27" customFormat="1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s="27" customFormat="1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s="27" customFormat="1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s="27" customFormat="1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s="27" customFormat="1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s="27" customFormat="1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s="27" customFormat="1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s="27" customFormat="1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s="27" customFormat="1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s="27" customFormat="1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s="27" customFormat="1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s="27" customFormat="1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s="27" customFormat="1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s="27" customFormat="1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s="27" customFormat="1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s="27" customFormat="1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s="27" customFormat="1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s="27" customFormat="1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s="27" customFormat="1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s="27" customFormat="1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s="27" customFormat="1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s="27" customFormat="1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s="27" customFormat="1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s="27" customFormat="1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s="27" customFormat="1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s="27" customFormat="1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s="27" customFormat="1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s="27" customFormat="1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s="27" customFormat="1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s="27" customFormat="1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s="27" customFormat="1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s="27" customFormat="1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s="27" customFormat="1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s="27" customFormat="1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s="27" customFormat="1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s="27" customFormat="1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s="27" customFormat="1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s="27" customFormat="1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s="27" customFormat="1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s="27" customFormat="1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s="27" customFormat="1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s="27" customFormat="1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s="27" customFormat="1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s="27" customFormat="1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s="27" customFormat="1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s="27" customFormat="1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s="27" customFormat="1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s="27" customFormat="1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s="27" customFormat="1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s="27" customFormat="1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s="27" customFormat="1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s="27" customFormat="1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s="27" customFormat="1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s="27" customFormat="1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s="27" customFormat="1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s="27" customFormat="1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s="27" customFormat="1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s="27" customFormat="1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s="27" customFormat="1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s="27" customFormat="1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s="27" customFormat="1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s="27" customFormat="1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s="27" customFormat="1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s="27" customFormat="1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s="27" customFormat="1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s="27" customFormat="1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s="27" customFormat="1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s="27" customFormat="1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s="27" customFormat="1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s="27" customFormat="1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s="27" customFormat="1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s="27" customFormat="1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s="27" customFormat="1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s="27" customFormat="1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s="27" customFormat="1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s="27" customFormat="1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s="27" customFormat="1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s="27" customFormat="1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s="27" customFormat="1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s="27" customFormat="1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s="27" customFormat="1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s="27" customFormat="1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s="27" customFormat="1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s="27" customFormat="1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s="27" customFormat="1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s="27" customFormat="1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s="27" customFormat="1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s="27" customFormat="1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s="27" customFormat="1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s="27" customFormat="1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s="27" customFormat="1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s="27" customFormat="1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s="27" customFormat="1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s="27" customFormat="1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s="27" customFormat="1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s="27" customFormat="1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s="27" customFormat="1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s="27" customFormat="1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s="27" customFormat="1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s="27" customFormat="1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s="27" customFormat="1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s="27" customFormat="1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s="27" customFormat="1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s="27" customFormat="1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s="27" customFormat="1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s="27" customFormat="1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s="27" customFormat="1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s="27" customFormat="1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s="27" customFormat="1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s="27" customFormat="1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s="27" customFormat="1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s="27" customFormat="1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s="27" customFormat="1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s="27" customFormat="1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s="27" customFormat="1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s="27" customFormat="1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s="27" customFormat="1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s="27" customFormat="1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s="27" customFormat="1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s="27" customFormat="1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s="27" customFormat="1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s="27" customFormat="1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s="27" customFormat="1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s="27" customFormat="1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s="27" customFormat="1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s="27" customFormat="1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s="27" customFormat="1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s="27" customFormat="1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s="27" customFormat="1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s="27" customFormat="1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s="27" customFormat="1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s="27" customFormat="1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s="27" customFormat="1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s="27" customFormat="1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s="27" customFormat="1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s="27" customFormat="1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s="27" customFormat="1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s="27" customFormat="1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s="27" customFormat="1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s="27" customFormat="1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s="27" customFormat="1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s="27" customFormat="1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s="27" customFormat="1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s="27" customFormat="1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s="27" customFormat="1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s="27" customFormat="1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s="27" customFormat="1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s="27" customFormat="1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s="27" customFormat="1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s="27" customFormat="1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s="27" customFormat="1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s="27" customFormat="1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s="27" customFormat="1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s="27" customFormat="1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s="27" customFormat="1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s="27" customFormat="1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s="27" customFormat="1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s="27" customFormat="1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s="27" customFormat="1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s="27" customFormat="1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s="27" customFormat="1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s="27" customFormat="1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s="27" customFormat="1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s="27" customFormat="1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s="27" customFormat="1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s="27" customFormat="1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s="27" customFormat="1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s="27" customFormat="1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s="27" customFormat="1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s="27" customFormat="1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s="27" customFormat="1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s="27" customFormat="1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s="27" customFormat="1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s="27" customFormat="1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s="27" customFormat="1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s="27" customFormat="1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s="27" customFormat="1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s="27" customFormat="1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s="27" customFormat="1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s="27" customFormat="1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s="27" customFormat="1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s="27" customFormat="1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s="27" customFormat="1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s="27" customFormat="1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s="27" customFormat="1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s="27" customFormat="1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s="27" customFormat="1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s="27" customFormat="1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s="27" customFormat="1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s="27" customFormat="1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s="27" customFormat="1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s="27" customFormat="1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s="27" customFormat="1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s="27" customFormat="1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s="27" customFormat="1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s="27" customFormat="1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s="27" customFormat="1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s="27" customFormat="1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s="27" customFormat="1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s="27" customFormat="1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s="27" customFormat="1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s="27" customFormat="1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s="27" customFormat="1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s="27" customFormat="1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s="27" customFormat="1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s="27" customFormat="1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s="27" customFormat="1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s="27" customFormat="1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s="27" customFormat="1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s="27" customFormat="1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s="27" customFormat="1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s="27" customFormat="1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s="27" customFormat="1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s="27" customFormat="1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s="27" customFormat="1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s="27" customFormat="1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s="27" customFormat="1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s="27" customFormat="1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s="27" customFormat="1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s="27" customFormat="1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s="27" customFormat="1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s="27" customFormat="1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s="27" customFormat="1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s="27" customFormat="1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s="27" customFormat="1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s="27" customFormat="1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s="27" customFormat="1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s="27" customFormat="1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s="27" customFormat="1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s="27" customFormat="1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s="27" customFormat="1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s="27" customFormat="1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s="27" customFormat="1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s="27" customFormat="1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s="27" customFormat="1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s="27" customFormat="1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s="27" customFormat="1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s="27" customFormat="1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s="27" customFormat="1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s="27" customFormat="1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s="27" customFormat="1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s="27" customFormat="1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s="27" customFormat="1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s="27" customFormat="1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s="27" customFormat="1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s="27" customFormat="1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s="27" customFormat="1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s="27" customFormat="1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s="27" customFormat="1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s="27" customFormat="1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s="27" customFormat="1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s="27" customFormat="1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s="27" customFormat="1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s="27" customFormat="1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s="27" customFormat="1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s="27" customFormat="1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s="27" customFormat="1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s="27" customFormat="1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s="27" customFormat="1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s="27" customFormat="1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s="27" customFormat="1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s="27" customFormat="1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s="27" customFormat="1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s="27" customFormat="1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s="27" customFormat="1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s="27" customFormat="1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s="27" customFormat="1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s="27" customFormat="1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s="27" customFormat="1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s="27" customFormat="1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s="27" customFormat="1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s="27" customFormat="1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s="27" customFormat="1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s="27" customFormat="1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s="27" customFormat="1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s="27" customFormat="1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s="27" customFormat="1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s="27" customFormat="1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s="27" customFormat="1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s="27" customFormat="1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s="27" customFormat="1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s="27" customFormat="1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s="27" customFormat="1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s="27" customFormat="1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s="27" customFormat="1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s="27" customFormat="1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s="27" customFormat="1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s="27" customFormat="1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s="27" customFormat="1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s="27" customFormat="1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s="27" customFormat="1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s="27" customFormat="1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s="27" customFormat="1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s="27" customFormat="1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s="27" customFormat="1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s="27" customFormat="1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s="27" customFormat="1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s="27" customFormat="1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s="27" customFormat="1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s="27" customFormat="1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s="27" customFormat="1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s="27" customFormat="1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s="27" customFormat="1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s="27" customFormat="1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s="27" customFormat="1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s="27" customFormat="1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s="27" customFormat="1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s="27" customFormat="1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s="27" customFormat="1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s="27" customFormat="1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s="27" customFormat="1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s="27" customFormat="1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s="27" customFormat="1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s="27" customFormat="1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s="27" customFormat="1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s="27" customFormat="1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s="27" customFormat="1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s="27" customFormat="1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s="27" customFormat="1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s="27" customFormat="1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s="27" customFormat="1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s="27" customFormat="1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s="27" customFormat="1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s="27" customFormat="1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s="27" customFormat="1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s="27" customFormat="1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s="27" customFormat="1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s="27" customFormat="1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s="27" customFormat="1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s="27" customFormat="1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s="27" customFormat="1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s="27" customFormat="1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s="27" customFormat="1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s="27" customFormat="1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s="27" customFormat="1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s="27" customFormat="1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s="27" customFormat="1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s="27" customFormat="1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s="27" customFormat="1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s="27" customFormat="1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s="27" customFormat="1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s="27" customFormat="1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s="27" customFormat="1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s="27" customFormat="1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s="27" customFormat="1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s="27" customFormat="1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s="27" customFormat="1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s="27" customFormat="1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s="27" customFormat="1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s="27" customFormat="1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s="27" customFormat="1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s="27" customFormat="1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s="27" customFormat="1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s="27" customFormat="1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s="27" customFormat="1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s="27" customFormat="1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s="27" customFormat="1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s="27" customFormat="1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s="27" customFormat="1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s="27" customFormat="1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s="27" customFormat="1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s="27" customFormat="1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s="27" customFormat="1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s="27" customFormat="1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s="27" customFormat="1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s="27" customFormat="1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s="27" customFormat="1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s="27" customFormat="1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s="27" customFormat="1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s="27" customFormat="1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s="27" customFormat="1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s="27" customFormat="1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s="27" customFormat="1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s="27" customFormat="1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s="27" customFormat="1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s="27" customFormat="1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s="27" customFormat="1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s="27" customFormat="1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s="27" customFormat="1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s="27" customFormat="1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s="27" customFormat="1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s="27" customFormat="1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s="27" customFormat="1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s="27" customFormat="1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s="27" customFormat="1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s="27" customFormat="1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s="27" customFormat="1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s="27" customFormat="1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s="27" customFormat="1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s="27" customFormat="1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s="27" customFormat="1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s="27" customFormat="1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s="27" customFormat="1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s="27" customFormat="1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s="27" customFormat="1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s="27" customFormat="1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s="27" customFormat="1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s="27" customFormat="1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s="27" customFormat="1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s="27" customFormat="1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s="27" customFormat="1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s="27" customFormat="1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s="27" customFormat="1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s="27" customFormat="1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s="27" customFormat="1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s="27" customFormat="1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s="27" customFormat="1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s="27" customFormat="1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s="27" customFormat="1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s="27" customFormat="1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s="27" customFormat="1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s="27" customFormat="1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s="27" customFormat="1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s="27" customFormat="1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s="27" customFormat="1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s="27" customFormat="1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s="27" customFormat="1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s="27" customFormat="1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s="27" customFormat="1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s="27" customFormat="1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s="27" customFormat="1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s="27" customFormat="1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s="27" customFormat="1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s="27" customFormat="1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s="27" customFormat="1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s="27" customFormat="1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s="27" customFormat="1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s="27" customFormat="1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s="27" customFormat="1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s="27" customFormat="1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s="27" customFormat="1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s="27" customFormat="1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s="27" customFormat="1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s="27" customFormat="1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s="27" customFormat="1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s="27" customFormat="1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s="27" customFormat="1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s="27" customFormat="1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s="27" customFormat="1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s="27" customFormat="1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s="27" customFormat="1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s="27" customFormat="1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s="27" customFormat="1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s="27" customFormat="1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s="27" customFormat="1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s="27" customFormat="1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s="27" customFormat="1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s="27" customFormat="1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s="27" customFormat="1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s="27" customFormat="1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s="27" customFormat="1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s="27" customFormat="1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s="27" customFormat="1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s="27" customFormat="1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s="27" customFormat="1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s="27" customFormat="1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s="27" customFormat="1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s="27" customFormat="1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s="27" customFormat="1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s="27" customFormat="1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s="27" customFormat="1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s="27" customFormat="1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s="27" customFormat="1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s="27" customFormat="1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s="27" customFormat="1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s="27" customFormat="1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s="27" customFormat="1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s="27" customFormat="1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s="27" customFormat="1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s="27" customFormat="1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s="27" customFormat="1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s="27" customFormat="1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s="27" customFormat="1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s="27" customFormat="1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s="27" customFormat="1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s="27" customFormat="1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s="27" customFormat="1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s="27" customFormat="1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s="27" customFormat="1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s="27" customFormat="1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s="27" customFormat="1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s="27" customFormat="1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s="27" customFormat="1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s="27" customFormat="1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s="27" customFormat="1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s="27" customFormat="1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s="27" customFormat="1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s="27" customFormat="1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s="27" customFormat="1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s="27" customFormat="1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s="27" customFormat="1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s="27" customFormat="1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s="27" customFormat="1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s="27" customFormat="1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s="27" customFormat="1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s="27" customFormat="1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s="27" customFormat="1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s="27" customFormat="1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s="27" customFormat="1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s="27" customFormat="1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s="27" customFormat="1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s="27" customFormat="1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s="27" customFormat="1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s="27" customFormat="1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s="27" customFormat="1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s="27" customFormat="1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s="27" customFormat="1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s="27" customFormat="1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s="27" customFormat="1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s="27" customFormat="1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s="27" customFormat="1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s="27" customFormat="1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s="27" customFormat="1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s="27" customFormat="1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s="27" customFormat="1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s="27" customFormat="1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s="27" customFormat="1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s="27" customFormat="1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s="27" customFormat="1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s="27" customFormat="1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s="27" customFormat="1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s="27" customFormat="1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s="27" customFormat="1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s="27" customFormat="1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s="27" customFormat="1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s="27" customFormat="1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s="27" customFormat="1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s="27" customFormat="1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s="27" customFormat="1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s="27" customFormat="1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s="27" customFormat="1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s="27" customFormat="1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s="27" customFormat="1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s="27" customFormat="1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s="27" customFormat="1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s="27" customFormat="1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s="27" customFormat="1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s="27" customFormat="1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s="27" customFormat="1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s="27" customFormat="1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s="27" customFormat="1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s="27" customFormat="1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s="27" customFormat="1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s="27" customFormat="1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s="27" customFormat="1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s="27" customFormat="1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s="27" customFormat="1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s="27" customFormat="1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s="27" customFormat="1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s="27" customFormat="1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s="27" customFormat="1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s="27" customFormat="1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s="27" customFormat="1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s="27" customFormat="1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s="27" customFormat="1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s="27" customFormat="1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s="27" customFormat="1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s="27" customFormat="1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s="27" customFormat="1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s="27" customFormat="1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s="27" customFormat="1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s="27" customFormat="1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s="27" customFormat="1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s="27" customFormat="1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s="27" customFormat="1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s="27" customFormat="1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s="27" customFormat="1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s="27" customFormat="1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s="27" customFormat="1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s="27" customFormat="1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s="27" customFormat="1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s="27" customFormat="1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s="27" customFormat="1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s="27" customFormat="1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s="27" customFormat="1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s="27" customFormat="1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s="27" customFormat="1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s="27" customFormat="1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s="27" customFormat="1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s="27" customFormat="1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s="27" customFormat="1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s="27" customFormat="1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s="27" customFormat="1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s="27" customFormat="1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s="27" customFormat="1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s="27" customFormat="1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s="27" customFormat="1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s="27" customFormat="1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s="27" customFormat="1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s="27" customFormat="1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s="27" customFormat="1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s="27" customFormat="1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s="27" customFormat="1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s="27" customFormat="1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s="27" customFormat="1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s="27" customFormat="1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s="27" customFormat="1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s="27" customFormat="1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s="27" customFormat="1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s="27" customFormat="1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s="27" customFormat="1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s="27" customFormat="1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s="27" customFormat="1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s="27" customFormat="1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s="27" customFormat="1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s="27" customFormat="1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s="27" customFormat="1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s="27" customFormat="1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s="27" customFormat="1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s="27" customFormat="1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s="27" customFormat="1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s="27" customFormat="1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s="27" customFormat="1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s="27" customFormat="1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s="27" customFormat="1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s="27" customFormat="1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s="27" customFormat="1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s="27" customFormat="1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s="27" customFormat="1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s="27" customFormat="1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s="27" customFormat="1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s="27" customFormat="1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s="27" customFormat="1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s="27" customFormat="1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s="27" customFormat="1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s="27" customFormat="1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s="27" customFormat="1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s="27" customFormat="1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s="27" customFormat="1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s="27" customFormat="1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s="27" customFormat="1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s="27" customFormat="1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s="27" customFormat="1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s="27" customFormat="1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s="27" customFormat="1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s="27" customFormat="1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s="27" customFormat="1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s="27" customFormat="1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s="27" customFormat="1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s="27" customFormat="1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s="27" customFormat="1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s="27" customFormat="1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s="27" customFormat="1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s="27" customFormat="1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s="27" customFormat="1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s="27" customFormat="1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s="27" customFormat="1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s="27" customFormat="1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s="27" customFormat="1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s="27" customFormat="1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s="27" customFormat="1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s="27" customFormat="1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s="27" customFormat="1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s="27" customFormat="1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s="27" customFormat="1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s="27" customFormat="1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s="27" customFormat="1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s="27" customFormat="1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s="27" customFormat="1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s="27" customFormat="1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s="27" customFormat="1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s="27" customFormat="1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s="27" customFormat="1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s="27" customFormat="1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s="27" customFormat="1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s="27" customFormat="1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s="27" customFormat="1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s="27" customFormat="1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s="27" customFormat="1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s="27" customFormat="1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s="27" customFormat="1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s="27" customFormat="1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s="27" customFormat="1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s="27" customFormat="1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s="27" customFormat="1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s="27" customFormat="1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s="27" customFormat="1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s="27" customFormat="1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s="27" customFormat="1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s="27" customFormat="1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s="27" customFormat="1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s="27" customFormat="1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s="27" customFormat="1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s="27" customFormat="1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s="27" customFormat="1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s="27" customFormat="1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s="27" customFormat="1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s="27" customFormat="1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s="27" customFormat="1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s="27" customFormat="1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s="27" customFormat="1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s="27" customFormat="1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s="27" customFormat="1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s="27" customFormat="1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s="27" customFormat="1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s="27" customFormat="1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s="27" customFormat="1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s="27" customFormat="1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s="27" customFormat="1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s="27" customFormat="1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s="27" customFormat="1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s="27" customFormat="1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s="27" customFormat="1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s="27" customFormat="1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s="27" customFormat="1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s="27" customFormat="1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s="27" customFormat="1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s="27" customFormat="1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s="27" customFormat="1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s="27" customFormat="1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s="27" customFormat="1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s="27" customFormat="1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s="27" customFormat="1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s="27" customFormat="1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s="27" customFormat="1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s="27" customFormat="1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s="27" customFormat="1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s="27" customFormat="1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s="27" customFormat="1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s="27" customFormat="1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s="27" customFormat="1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s="27" customFormat="1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s="27" customFormat="1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s="27" customFormat="1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s="27" customFormat="1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s="27" customFormat="1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s="27" customFormat="1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s="27" customFormat="1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s="27" customFormat="1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s="27" customFormat="1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spans="1:11" s="27" customFormat="1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spans="1:11" s="27" customFormat="1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spans="1:11" s="27" customFormat="1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spans="1:11" s="27" customFormat="1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spans="1:11" s="27" customFormat="1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spans="1:11" s="27" customFormat="1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spans="1:11" s="27" customFormat="1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spans="1:11" s="27" customFormat="1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spans="1:11" s="27" customFormat="1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spans="1:11" s="27" customFormat="1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spans="1:11" s="27" customFormat="1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2578125" defaultRowHeight="12.75" x14ac:dyDescent="0.2"/>
  <cols>
    <col min="1" max="26" width="8.7109375" style="27" customWidth="1"/>
  </cols>
  <sheetData>
    <row r="1" spans="1:1" s="27" customFormat="1" ht="12.75" customHeight="1" x14ac:dyDescent="0.2">
      <c r="A1" s="6" t="s">
        <v>406</v>
      </c>
    </row>
    <row r="2" spans="1:1" s="27" customFormat="1" ht="12.75" customHeight="1" x14ac:dyDescent="0.2"/>
    <row r="3" spans="1:1" s="27" customFormat="1" ht="12.75" customHeight="1" x14ac:dyDescent="0.2">
      <c r="A3" s="6" t="s">
        <v>407</v>
      </c>
    </row>
    <row r="4" spans="1:1" s="27" customFormat="1" ht="12.75" customHeight="1" x14ac:dyDescent="0.2"/>
    <row r="5" spans="1:1" s="27" customFormat="1" ht="12.75" customHeight="1" x14ac:dyDescent="0.2">
      <c r="A5" s="6" t="s">
        <v>408</v>
      </c>
    </row>
    <row r="6" spans="1:1" s="27" customFormat="1" ht="12.75" customHeight="1" x14ac:dyDescent="0.2"/>
    <row r="7" spans="1:1" s="27" customFormat="1" ht="12.75" customHeight="1" x14ac:dyDescent="0.2">
      <c r="A7" s="6" t="s">
        <v>409</v>
      </c>
    </row>
    <row r="8" spans="1:1" s="27" customFormat="1" ht="12.75" customHeight="1" x14ac:dyDescent="0.2">
      <c r="A8" s="6" t="s">
        <v>410</v>
      </c>
    </row>
    <row r="9" spans="1:1" s="27" customFormat="1" ht="12.75" customHeight="1" x14ac:dyDescent="0.2">
      <c r="A9" s="6" t="s">
        <v>411</v>
      </c>
    </row>
    <row r="10" spans="1:1" s="27" customFormat="1" ht="12.75" customHeight="1" x14ac:dyDescent="0.2">
      <c r="A10" s="6" t="s">
        <v>412</v>
      </c>
    </row>
    <row r="11" spans="1:1" s="27" customFormat="1" ht="12.75" customHeight="1" x14ac:dyDescent="0.2">
      <c r="A11" s="6" t="s">
        <v>413</v>
      </c>
    </row>
    <row r="12" spans="1:1" s="27" customFormat="1" ht="12.75" customHeight="1" x14ac:dyDescent="0.2">
      <c r="A12" s="6" t="s">
        <v>414</v>
      </c>
    </row>
    <row r="13" spans="1:1" s="27" customFormat="1" ht="12.75" customHeight="1" x14ac:dyDescent="0.2">
      <c r="A13" s="6" t="s">
        <v>415</v>
      </c>
    </row>
    <row r="14" spans="1:1" s="27" customFormat="1" ht="12.75" customHeight="1" x14ac:dyDescent="0.2">
      <c r="A14" s="6" t="s">
        <v>416</v>
      </c>
    </row>
    <row r="15" spans="1:1" s="27" customFormat="1" ht="12.75" customHeight="1" x14ac:dyDescent="0.2">
      <c r="A15" s="6" t="s">
        <v>417</v>
      </c>
    </row>
    <row r="16" spans="1:1" s="27" customFormat="1" ht="12.75" customHeight="1" x14ac:dyDescent="0.2">
      <c r="A16" s="6" t="s">
        <v>418</v>
      </c>
    </row>
    <row r="17" spans="1:1" s="27" customFormat="1" ht="12.75" customHeight="1" x14ac:dyDescent="0.2">
      <c r="A17" s="6" t="s">
        <v>419</v>
      </c>
    </row>
    <row r="18" spans="1:1" s="27" customFormat="1" ht="12.75" customHeight="1" x14ac:dyDescent="0.2">
      <c r="A18" s="6" t="s">
        <v>420</v>
      </c>
    </row>
    <row r="19" spans="1:1" s="27" customFormat="1" ht="12.75" customHeight="1" x14ac:dyDescent="0.2">
      <c r="A19" s="6" t="s">
        <v>421</v>
      </c>
    </row>
    <row r="20" spans="1:1" s="27" customFormat="1" ht="12.75" customHeight="1" x14ac:dyDescent="0.2">
      <c r="A20" s="6" t="s">
        <v>422</v>
      </c>
    </row>
    <row r="21" spans="1:1" s="27" customFormat="1" ht="12.75" customHeight="1" x14ac:dyDescent="0.2">
      <c r="A21" s="6" t="s">
        <v>423</v>
      </c>
    </row>
    <row r="22" spans="1:1" s="27" customFormat="1" ht="12.75" customHeight="1" x14ac:dyDescent="0.2"/>
    <row r="23" spans="1:1" s="27" customFormat="1" ht="12.75" customHeight="1" x14ac:dyDescent="0.2">
      <c r="A23" s="6" t="s">
        <v>424</v>
      </c>
    </row>
    <row r="24" spans="1:1" s="27" customFormat="1" ht="12.75" customHeight="1" x14ac:dyDescent="0.2"/>
    <row r="25" spans="1:1" s="27" customFormat="1" ht="12.75" customHeight="1" x14ac:dyDescent="0.2">
      <c r="A25" s="6" t="s">
        <v>425</v>
      </c>
    </row>
    <row r="26" spans="1:1" s="27" customFormat="1" ht="12.75" customHeight="1" x14ac:dyDescent="0.2">
      <c r="A26" s="6" t="s">
        <v>426</v>
      </c>
    </row>
    <row r="27" spans="1:1" s="27" customFormat="1" ht="12.75" customHeight="1" x14ac:dyDescent="0.2">
      <c r="A27" s="6" t="s">
        <v>427</v>
      </c>
    </row>
    <row r="28" spans="1:1" s="27" customFormat="1" ht="12.75" customHeight="1" x14ac:dyDescent="0.2">
      <c r="A28" s="6" t="s">
        <v>428</v>
      </c>
    </row>
    <row r="29" spans="1:1" s="27" customFormat="1" ht="12.75" customHeight="1" x14ac:dyDescent="0.2">
      <c r="A29" s="6" t="s">
        <v>429</v>
      </c>
    </row>
    <row r="30" spans="1:1" s="27" customFormat="1" ht="12.75" customHeight="1" x14ac:dyDescent="0.2">
      <c r="A30" s="6" t="s">
        <v>430</v>
      </c>
    </row>
    <row r="31" spans="1:1" s="27" customFormat="1" ht="12.75" customHeight="1" x14ac:dyDescent="0.2">
      <c r="A31" s="6" t="s">
        <v>431</v>
      </c>
    </row>
    <row r="32" spans="1:1" s="27" customFormat="1" ht="12.75" customHeight="1" x14ac:dyDescent="0.2">
      <c r="A32" s="6" t="s">
        <v>432</v>
      </c>
    </row>
    <row r="33" spans="1:1" s="27" customFormat="1" ht="12.75" customHeight="1" x14ac:dyDescent="0.2"/>
    <row r="34" spans="1:1" s="27" customFormat="1" ht="12.75" customHeight="1" x14ac:dyDescent="0.2">
      <c r="A34" s="6" t="s">
        <v>433</v>
      </c>
    </row>
    <row r="35" spans="1:1" s="27" customFormat="1" ht="12.75" customHeight="1" x14ac:dyDescent="0.2"/>
    <row r="36" spans="1:1" s="27" customFormat="1" ht="12.75" customHeight="1" x14ac:dyDescent="0.2">
      <c r="A36" s="6" t="s">
        <v>434</v>
      </c>
    </row>
    <row r="37" spans="1:1" s="27" customFormat="1" ht="12.75" customHeight="1" x14ac:dyDescent="0.2">
      <c r="A37" s="6" t="s">
        <v>435</v>
      </c>
    </row>
    <row r="38" spans="1:1" s="27" customFormat="1" ht="12.75" customHeight="1" x14ac:dyDescent="0.2">
      <c r="A38" s="6" t="s">
        <v>436</v>
      </c>
    </row>
    <row r="39" spans="1:1" s="27" customFormat="1" ht="12.75" customHeight="1" x14ac:dyDescent="0.2">
      <c r="A39" s="6" t="s">
        <v>437</v>
      </c>
    </row>
    <row r="40" spans="1:1" s="27" customFormat="1" ht="12.75" customHeight="1" x14ac:dyDescent="0.2">
      <c r="A40" s="6" t="s">
        <v>438</v>
      </c>
    </row>
    <row r="41" spans="1:1" s="27" customFormat="1" ht="12.75" customHeight="1" x14ac:dyDescent="0.2">
      <c r="A41" s="6" t="s">
        <v>439</v>
      </c>
    </row>
    <row r="42" spans="1:1" s="27" customFormat="1" ht="12.75" customHeight="1" x14ac:dyDescent="0.2">
      <c r="A42" s="6" t="s">
        <v>440</v>
      </c>
    </row>
    <row r="43" spans="1:1" s="27" customFormat="1" ht="12.75" customHeight="1" x14ac:dyDescent="0.2">
      <c r="A43" s="6" t="s">
        <v>441</v>
      </c>
    </row>
    <row r="44" spans="1:1" s="27" customFormat="1" ht="12.75" customHeight="1" x14ac:dyDescent="0.2">
      <c r="A44" s="6" t="s">
        <v>442</v>
      </c>
    </row>
    <row r="45" spans="1:1" s="27" customFormat="1" ht="12.75" customHeight="1" x14ac:dyDescent="0.2">
      <c r="A45" s="6" t="s">
        <v>443</v>
      </c>
    </row>
    <row r="46" spans="1:1" s="27" customFormat="1" ht="12.75" customHeight="1" x14ac:dyDescent="0.2">
      <c r="A46" s="6" t="s">
        <v>444</v>
      </c>
    </row>
    <row r="47" spans="1:1" s="27" customFormat="1" ht="12.75" customHeight="1" x14ac:dyDescent="0.2">
      <c r="A47" s="6" t="s">
        <v>445</v>
      </c>
    </row>
    <row r="48" spans="1:1" s="27" customFormat="1" ht="12.75" customHeight="1" x14ac:dyDescent="0.2">
      <c r="A48" s="6" t="s">
        <v>439</v>
      </c>
    </row>
    <row r="49" spans="1:1" s="27" customFormat="1" ht="12.75" customHeight="1" x14ac:dyDescent="0.2">
      <c r="A49" s="6" t="s">
        <v>446</v>
      </c>
    </row>
    <row r="50" spans="1:1" s="27" customFormat="1" ht="12.75" customHeight="1" x14ac:dyDescent="0.2">
      <c r="A50" s="6" t="s">
        <v>447</v>
      </c>
    </row>
    <row r="51" spans="1:1" s="27" customFormat="1" ht="12.75" customHeight="1" x14ac:dyDescent="0.2">
      <c r="A51" s="6" t="s">
        <v>448</v>
      </c>
    </row>
    <row r="52" spans="1:1" s="27" customFormat="1" ht="12.75" customHeight="1" x14ac:dyDescent="0.2">
      <c r="A52" s="6" t="s">
        <v>449</v>
      </c>
    </row>
    <row r="53" spans="1:1" s="27" customFormat="1" ht="12.75" customHeight="1" x14ac:dyDescent="0.2">
      <c r="A53" s="6" t="s">
        <v>450</v>
      </c>
    </row>
    <row r="54" spans="1:1" s="27" customFormat="1" ht="12.75" customHeight="1" x14ac:dyDescent="0.2"/>
    <row r="55" spans="1:1" s="27" customFormat="1" ht="12.75" customHeight="1" x14ac:dyDescent="0.2">
      <c r="A55" s="6" t="s">
        <v>451</v>
      </c>
    </row>
    <row r="56" spans="1:1" s="27" customFormat="1" ht="12.75" customHeight="1" x14ac:dyDescent="0.2">
      <c r="A56" s="6" t="s">
        <v>452</v>
      </c>
    </row>
    <row r="57" spans="1:1" s="27" customFormat="1" ht="12.75" customHeight="1" x14ac:dyDescent="0.2">
      <c r="A57" s="6" t="s">
        <v>453</v>
      </c>
    </row>
    <row r="58" spans="1:1" s="27" customFormat="1" ht="12.75" customHeight="1" x14ac:dyDescent="0.2">
      <c r="A58" s="6" t="s">
        <v>454</v>
      </c>
    </row>
    <row r="59" spans="1:1" s="27" customFormat="1" ht="12.75" customHeight="1" x14ac:dyDescent="0.2">
      <c r="A59" s="6" t="s">
        <v>455</v>
      </c>
    </row>
    <row r="60" spans="1:1" s="27" customFormat="1" ht="12.75" customHeight="1" x14ac:dyDescent="0.2">
      <c r="A60" s="6" t="s">
        <v>456</v>
      </c>
    </row>
    <row r="61" spans="1:1" s="27" customFormat="1" ht="12.75" customHeight="1" x14ac:dyDescent="0.2">
      <c r="A61" s="6" t="s">
        <v>457</v>
      </c>
    </row>
    <row r="62" spans="1:1" s="27" customFormat="1" ht="12.75" customHeight="1" x14ac:dyDescent="0.2">
      <c r="A62" s="6" t="s">
        <v>458</v>
      </c>
    </row>
    <row r="63" spans="1:1" s="27" customFormat="1" ht="12.75" customHeight="1" x14ac:dyDescent="0.2"/>
    <row r="64" spans="1:1" s="27" customFormat="1" ht="12.75" customHeight="1" x14ac:dyDescent="0.2">
      <c r="A64" s="6" t="s">
        <v>459</v>
      </c>
    </row>
    <row r="65" spans="1:1" s="27" customFormat="1" ht="12.75" customHeight="1" x14ac:dyDescent="0.2">
      <c r="A65" s="6" t="s">
        <v>460</v>
      </c>
    </row>
    <row r="66" spans="1:1" s="27" customFormat="1" ht="12.75" customHeight="1" x14ac:dyDescent="0.2"/>
    <row r="67" spans="1:1" s="27" customFormat="1" ht="12.75" customHeight="1" x14ac:dyDescent="0.2"/>
    <row r="68" spans="1:1" s="27" customFormat="1" ht="12.75" customHeight="1" x14ac:dyDescent="0.2"/>
    <row r="69" spans="1:1" s="27" customFormat="1" ht="12.75" customHeight="1" x14ac:dyDescent="0.2"/>
    <row r="70" spans="1:1" s="27" customFormat="1" ht="12.75" customHeight="1" x14ac:dyDescent="0.2"/>
    <row r="71" spans="1:1" s="27" customFormat="1" ht="12.75" customHeight="1" x14ac:dyDescent="0.2"/>
    <row r="72" spans="1:1" s="27" customFormat="1" ht="12.75" customHeight="1" x14ac:dyDescent="0.2"/>
    <row r="73" spans="1:1" s="27" customFormat="1" ht="12.75" customHeight="1" x14ac:dyDescent="0.2"/>
    <row r="74" spans="1:1" s="27" customFormat="1" ht="12.75" customHeight="1" x14ac:dyDescent="0.2"/>
    <row r="75" spans="1:1" s="27" customFormat="1" ht="12.75" customHeight="1" x14ac:dyDescent="0.2"/>
    <row r="76" spans="1:1" s="27" customFormat="1" ht="12.75" customHeight="1" x14ac:dyDescent="0.2"/>
    <row r="77" spans="1:1" s="27" customFormat="1" ht="12.75" customHeight="1" x14ac:dyDescent="0.2"/>
    <row r="78" spans="1:1" s="27" customFormat="1" ht="12.75" customHeight="1" x14ac:dyDescent="0.2"/>
    <row r="79" spans="1:1" s="27" customFormat="1" ht="12.75" customHeight="1" x14ac:dyDescent="0.2"/>
    <row r="80" spans="1:1" s="27" customFormat="1" ht="12.75" customHeight="1" x14ac:dyDescent="0.2"/>
    <row r="81" s="27" customFormat="1" ht="12.75" customHeight="1" x14ac:dyDescent="0.2"/>
    <row r="82" s="27" customFormat="1" ht="12.75" customHeight="1" x14ac:dyDescent="0.2"/>
    <row r="83" s="27" customFormat="1" ht="12.75" customHeight="1" x14ac:dyDescent="0.2"/>
    <row r="84" s="27" customFormat="1" ht="12.75" customHeight="1" x14ac:dyDescent="0.2"/>
    <row r="85" s="27" customFormat="1" ht="12.75" customHeight="1" x14ac:dyDescent="0.2"/>
    <row r="86" s="27" customFormat="1" ht="12.75" customHeight="1" x14ac:dyDescent="0.2"/>
    <row r="87" s="27" customFormat="1" ht="12.75" customHeight="1" x14ac:dyDescent="0.2"/>
    <row r="88" s="27" customFormat="1" ht="12.75" customHeight="1" x14ac:dyDescent="0.2"/>
    <row r="89" s="27" customFormat="1" ht="12.75" customHeight="1" x14ac:dyDescent="0.2"/>
    <row r="90" s="27" customFormat="1" ht="12.75" customHeight="1" x14ac:dyDescent="0.2"/>
    <row r="91" s="27" customFormat="1" ht="12.75" customHeight="1" x14ac:dyDescent="0.2"/>
    <row r="92" s="27" customFormat="1" ht="12.75" customHeight="1" x14ac:dyDescent="0.2"/>
    <row r="93" s="27" customFormat="1" ht="12.75" customHeight="1" x14ac:dyDescent="0.2"/>
    <row r="94" s="27" customFormat="1" ht="12.75" customHeight="1" x14ac:dyDescent="0.2"/>
    <row r="95" s="27" customFormat="1" ht="12.75" customHeight="1" x14ac:dyDescent="0.2"/>
    <row r="96" s="27" customFormat="1" ht="12.75" customHeight="1" x14ac:dyDescent="0.2"/>
    <row r="97" s="27" customFormat="1" ht="12.75" customHeight="1" x14ac:dyDescent="0.2"/>
    <row r="98" s="27" customFormat="1" ht="12.75" customHeight="1" x14ac:dyDescent="0.2"/>
    <row r="99" s="27" customFormat="1" ht="12.75" customHeight="1" x14ac:dyDescent="0.2"/>
    <row r="100" s="27" customFormat="1" ht="12.75" customHeight="1" x14ac:dyDescent="0.2"/>
    <row r="101" s="27" customFormat="1" ht="12.75" customHeight="1" x14ac:dyDescent="0.2"/>
    <row r="102" s="27" customFormat="1" ht="12.75" customHeight="1" x14ac:dyDescent="0.2"/>
    <row r="103" s="27" customFormat="1" ht="12.75" customHeight="1" x14ac:dyDescent="0.2"/>
    <row r="104" s="27" customFormat="1" ht="12.75" customHeight="1" x14ac:dyDescent="0.2"/>
    <row r="105" s="27" customFormat="1" ht="12.75" customHeight="1" x14ac:dyDescent="0.2"/>
    <row r="106" s="27" customFormat="1" ht="12.75" customHeight="1" x14ac:dyDescent="0.2"/>
    <row r="107" s="27" customFormat="1" ht="12.75" customHeight="1" x14ac:dyDescent="0.2"/>
    <row r="108" s="27" customFormat="1" ht="12.75" customHeight="1" x14ac:dyDescent="0.2"/>
    <row r="109" s="27" customFormat="1" ht="12.75" customHeight="1" x14ac:dyDescent="0.2"/>
    <row r="110" s="27" customFormat="1" ht="12.75" customHeight="1" x14ac:dyDescent="0.2"/>
    <row r="111" s="27" customFormat="1" ht="12.75" customHeight="1" x14ac:dyDescent="0.2"/>
    <row r="112" s="27" customFormat="1" ht="12.75" customHeight="1" x14ac:dyDescent="0.2"/>
    <row r="113" s="27" customFormat="1" ht="12.75" customHeight="1" x14ac:dyDescent="0.2"/>
    <row r="114" s="27" customFormat="1" ht="12.75" customHeight="1" x14ac:dyDescent="0.2"/>
    <row r="115" s="27" customFormat="1" ht="12.75" customHeight="1" x14ac:dyDescent="0.2"/>
    <row r="116" s="27" customFormat="1" ht="12.75" customHeight="1" x14ac:dyDescent="0.2"/>
    <row r="117" s="27" customFormat="1" ht="12.75" customHeight="1" x14ac:dyDescent="0.2"/>
    <row r="118" s="27" customFormat="1" ht="12.75" customHeight="1" x14ac:dyDescent="0.2"/>
    <row r="119" s="27" customFormat="1" ht="12.75" customHeight="1" x14ac:dyDescent="0.2"/>
    <row r="120" s="27" customFormat="1" ht="12.75" customHeight="1" x14ac:dyDescent="0.2"/>
    <row r="121" s="27" customFormat="1" ht="12.75" customHeight="1" x14ac:dyDescent="0.2"/>
    <row r="122" s="27" customFormat="1" ht="12.75" customHeight="1" x14ac:dyDescent="0.2"/>
    <row r="123" s="27" customFormat="1" ht="12.75" customHeight="1" x14ac:dyDescent="0.2"/>
    <row r="124" s="27" customFormat="1" ht="12.75" customHeight="1" x14ac:dyDescent="0.2"/>
    <row r="125" s="27" customFormat="1" ht="12.75" customHeight="1" x14ac:dyDescent="0.2"/>
    <row r="126" s="27" customFormat="1" ht="12.75" customHeight="1" x14ac:dyDescent="0.2"/>
    <row r="127" s="27" customFormat="1" ht="12.75" customHeight="1" x14ac:dyDescent="0.2"/>
    <row r="128" s="27" customFormat="1" ht="12.75" customHeight="1" x14ac:dyDescent="0.2"/>
    <row r="129" s="27" customFormat="1" ht="12.75" customHeight="1" x14ac:dyDescent="0.2"/>
    <row r="130" s="27" customFormat="1" ht="12.75" customHeight="1" x14ac:dyDescent="0.2"/>
    <row r="131" s="27" customFormat="1" ht="12.75" customHeight="1" x14ac:dyDescent="0.2"/>
    <row r="132" s="27" customFormat="1" ht="12.75" customHeight="1" x14ac:dyDescent="0.2"/>
    <row r="133" s="27" customFormat="1" ht="12.75" customHeight="1" x14ac:dyDescent="0.2"/>
    <row r="134" s="27" customFormat="1" ht="12.75" customHeight="1" x14ac:dyDescent="0.2"/>
    <row r="135" s="27" customFormat="1" ht="12.75" customHeight="1" x14ac:dyDescent="0.2"/>
    <row r="136" s="27" customFormat="1" ht="12.75" customHeight="1" x14ac:dyDescent="0.2"/>
    <row r="137" s="27" customFormat="1" ht="12.75" customHeight="1" x14ac:dyDescent="0.2"/>
    <row r="138" s="27" customFormat="1" ht="12.75" customHeight="1" x14ac:dyDescent="0.2"/>
    <row r="139" s="27" customFormat="1" ht="12.75" customHeight="1" x14ac:dyDescent="0.2"/>
    <row r="140" s="27" customFormat="1" ht="12.75" customHeight="1" x14ac:dyDescent="0.2"/>
    <row r="141" s="27" customFormat="1" ht="12.75" customHeight="1" x14ac:dyDescent="0.2"/>
    <row r="142" s="27" customFormat="1" ht="12.75" customHeight="1" x14ac:dyDescent="0.2"/>
    <row r="143" s="27" customFormat="1" ht="12.75" customHeight="1" x14ac:dyDescent="0.2"/>
    <row r="144" s="27" customFormat="1" ht="12.75" customHeight="1" x14ac:dyDescent="0.2"/>
    <row r="145" s="27" customFormat="1" ht="12.75" customHeight="1" x14ac:dyDescent="0.2"/>
    <row r="146" s="27" customFormat="1" ht="12.75" customHeight="1" x14ac:dyDescent="0.2"/>
    <row r="147" s="27" customFormat="1" ht="12.75" customHeight="1" x14ac:dyDescent="0.2"/>
    <row r="148" s="27" customFormat="1" ht="12.75" customHeight="1" x14ac:dyDescent="0.2"/>
    <row r="149" s="27" customFormat="1" ht="12.75" customHeight="1" x14ac:dyDescent="0.2"/>
    <row r="150" s="27" customFormat="1" ht="12.75" customHeight="1" x14ac:dyDescent="0.2"/>
    <row r="151" s="27" customFormat="1" ht="12.75" customHeight="1" x14ac:dyDescent="0.2"/>
    <row r="152" s="27" customFormat="1" ht="12.75" customHeight="1" x14ac:dyDescent="0.2"/>
    <row r="153" s="27" customFormat="1" ht="12.75" customHeight="1" x14ac:dyDescent="0.2"/>
    <row r="154" s="27" customFormat="1" ht="12.75" customHeight="1" x14ac:dyDescent="0.2"/>
    <row r="155" s="27" customFormat="1" ht="12.75" customHeight="1" x14ac:dyDescent="0.2"/>
    <row r="156" s="27" customFormat="1" ht="12.75" customHeight="1" x14ac:dyDescent="0.2"/>
    <row r="157" s="27" customFormat="1" ht="12.75" customHeight="1" x14ac:dyDescent="0.2"/>
    <row r="158" s="27" customFormat="1" ht="12.75" customHeight="1" x14ac:dyDescent="0.2"/>
    <row r="159" s="27" customFormat="1" ht="12.75" customHeight="1" x14ac:dyDescent="0.2"/>
    <row r="160" s="27" customFormat="1" ht="12.75" customHeight="1" x14ac:dyDescent="0.2"/>
    <row r="161" s="27" customFormat="1" ht="12.75" customHeight="1" x14ac:dyDescent="0.2"/>
    <row r="162" s="27" customFormat="1" ht="12.75" customHeight="1" x14ac:dyDescent="0.2"/>
    <row r="163" s="27" customFormat="1" ht="12.75" customHeight="1" x14ac:dyDescent="0.2"/>
    <row r="164" s="27" customFormat="1" ht="12.75" customHeight="1" x14ac:dyDescent="0.2"/>
    <row r="165" s="27" customFormat="1" ht="12.75" customHeight="1" x14ac:dyDescent="0.2"/>
    <row r="166" s="27" customFormat="1" ht="12.75" customHeight="1" x14ac:dyDescent="0.2"/>
    <row r="167" s="27" customFormat="1" ht="12.75" customHeight="1" x14ac:dyDescent="0.2"/>
    <row r="168" s="27" customFormat="1" ht="12.75" customHeight="1" x14ac:dyDescent="0.2"/>
    <row r="169" s="27" customFormat="1" ht="12.75" customHeight="1" x14ac:dyDescent="0.2"/>
    <row r="170" s="27" customFormat="1" ht="12.75" customHeight="1" x14ac:dyDescent="0.2"/>
    <row r="171" s="27" customFormat="1" ht="12.75" customHeight="1" x14ac:dyDescent="0.2"/>
    <row r="172" s="27" customFormat="1" ht="12.75" customHeight="1" x14ac:dyDescent="0.2"/>
    <row r="173" s="27" customFormat="1" ht="12.75" customHeight="1" x14ac:dyDescent="0.2"/>
    <row r="174" s="27" customFormat="1" ht="12.75" customHeight="1" x14ac:dyDescent="0.2"/>
    <row r="175" s="27" customFormat="1" ht="12.75" customHeight="1" x14ac:dyDescent="0.2"/>
    <row r="176" s="27" customFormat="1" ht="12.75" customHeight="1" x14ac:dyDescent="0.2"/>
    <row r="177" s="27" customFormat="1" ht="12.75" customHeight="1" x14ac:dyDescent="0.2"/>
    <row r="178" s="27" customFormat="1" ht="12.75" customHeight="1" x14ac:dyDescent="0.2"/>
    <row r="179" s="27" customFormat="1" ht="12.75" customHeight="1" x14ac:dyDescent="0.2"/>
    <row r="180" s="27" customFormat="1" ht="12.75" customHeight="1" x14ac:dyDescent="0.2"/>
    <row r="181" s="27" customFormat="1" ht="12.75" customHeight="1" x14ac:dyDescent="0.2"/>
    <row r="182" s="27" customFormat="1" ht="12.75" customHeight="1" x14ac:dyDescent="0.2"/>
    <row r="183" s="27" customFormat="1" ht="12.75" customHeight="1" x14ac:dyDescent="0.2"/>
    <row r="184" s="27" customFormat="1" ht="12.75" customHeight="1" x14ac:dyDescent="0.2"/>
    <row r="185" s="27" customFormat="1" ht="12.75" customHeight="1" x14ac:dyDescent="0.2"/>
    <row r="186" s="27" customFormat="1" ht="12.75" customHeight="1" x14ac:dyDescent="0.2"/>
    <row r="187" s="27" customFormat="1" ht="12.75" customHeight="1" x14ac:dyDescent="0.2"/>
    <row r="188" s="27" customFormat="1" ht="12.75" customHeight="1" x14ac:dyDescent="0.2"/>
    <row r="189" s="27" customFormat="1" ht="12.75" customHeight="1" x14ac:dyDescent="0.2"/>
    <row r="190" s="27" customFormat="1" ht="12.75" customHeight="1" x14ac:dyDescent="0.2"/>
    <row r="191" s="27" customFormat="1" ht="12.75" customHeight="1" x14ac:dyDescent="0.2"/>
    <row r="192" s="27" customFormat="1" ht="12.75" customHeight="1" x14ac:dyDescent="0.2"/>
    <row r="193" s="27" customFormat="1" ht="12.75" customHeight="1" x14ac:dyDescent="0.2"/>
    <row r="194" s="27" customFormat="1" ht="12.75" customHeight="1" x14ac:dyDescent="0.2"/>
    <row r="195" s="27" customFormat="1" ht="12.75" customHeight="1" x14ac:dyDescent="0.2"/>
    <row r="196" s="27" customFormat="1" ht="12.75" customHeight="1" x14ac:dyDescent="0.2"/>
    <row r="197" s="27" customFormat="1" ht="12.75" customHeight="1" x14ac:dyDescent="0.2"/>
    <row r="198" s="27" customFormat="1" ht="12.75" customHeight="1" x14ac:dyDescent="0.2"/>
    <row r="199" s="27" customFormat="1" ht="12.75" customHeight="1" x14ac:dyDescent="0.2"/>
    <row r="200" s="27" customFormat="1" ht="12.75" customHeight="1" x14ac:dyDescent="0.2"/>
    <row r="201" s="27" customFormat="1" ht="12.75" customHeight="1" x14ac:dyDescent="0.2"/>
    <row r="202" s="27" customFormat="1" ht="12.75" customHeight="1" x14ac:dyDescent="0.2"/>
    <row r="203" s="27" customFormat="1" ht="12.75" customHeight="1" x14ac:dyDescent="0.2"/>
    <row r="204" s="27" customFormat="1" ht="12.75" customHeight="1" x14ac:dyDescent="0.2"/>
    <row r="205" s="27" customFormat="1" ht="12.75" customHeight="1" x14ac:dyDescent="0.2"/>
    <row r="206" s="27" customFormat="1" ht="12.75" customHeight="1" x14ac:dyDescent="0.2"/>
    <row r="207" s="27" customFormat="1" ht="12.75" customHeight="1" x14ac:dyDescent="0.2"/>
    <row r="208" s="27" customFormat="1" ht="12.75" customHeight="1" x14ac:dyDescent="0.2"/>
    <row r="209" s="27" customFormat="1" ht="12.75" customHeight="1" x14ac:dyDescent="0.2"/>
    <row r="210" s="27" customFormat="1" ht="12.75" customHeight="1" x14ac:dyDescent="0.2"/>
    <row r="211" s="27" customFormat="1" ht="12.75" customHeight="1" x14ac:dyDescent="0.2"/>
    <row r="212" s="27" customFormat="1" ht="12.75" customHeight="1" x14ac:dyDescent="0.2"/>
    <row r="213" s="27" customFormat="1" ht="12.75" customHeight="1" x14ac:dyDescent="0.2"/>
    <row r="214" s="27" customFormat="1" ht="12.75" customHeight="1" x14ac:dyDescent="0.2"/>
    <row r="215" s="27" customFormat="1" ht="12.75" customHeight="1" x14ac:dyDescent="0.2"/>
    <row r="216" s="27" customFormat="1" ht="12.75" customHeight="1" x14ac:dyDescent="0.2"/>
    <row r="217" s="27" customFormat="1" ht="12.75" customHeight="1" x14ac:dyDescent="0.2"/>
    <row r="218" s="27" customFormat="1" ht="12.75" customHeight="1" x14ac:dyDescent="0.2"/>
    <row r="219" s="27" customFormat="1" ht="12.75" customHeight="1" x14ac:dyDescent="0.2"/>
    <row r="220" s="27" customFormat="1" ht="12.75" customHeight="1" x14ac:dyDescent="0.2"/>
    <row r="221" s="27" customFormat="1" ht="12.75" customHeight="1" x14ac:dyDescent="0.2"/>
    <row r="222" s="27" customFormat="1" ht="12.75" customHeight="1" x14ac:dyDescent="0.2"/>
    <row r="223" s="27" customFormat="1" ht="12.75" customHeight="1" x14ac:dyDescent="0.2"/>
    <row r="224" s="27" customFormat="1" ht="12.75" customHeight="1" x14ac:dyDescent="0.2"/>
    <row r="225" s="27" customFormat="1" ht="12.75" customHeight="1" x14ac:dyDescent="0.2"/>
    <row r="226" s="27" customFormat="1" ht="12.75" customHeight="1" x14ac:dyDescent="0.2"/>
    <row r="227" s="27" customFormat="1" ht="12.75" customHeight="1" x14ac:dyDescent="0.2"/>
    <row r="228" s="27" customFormat="1" ht="12.75" customHeight="1" x14ac:dyDescent="0.2"/>
    <row r="229" s="27" customFormat="1" ht="12.75" customHeight="1" x14ac:dyDescent="0.2"/>
    <row r="230" s="27" customFormat="1" ht="12.75" customHeight="1" x14ac:dyDescent="0.2"/>
    <row r="231" s="27" customFormat="1" ht="12.75" customHeight="1" x14ac:dyDescent="0.2"/>
    <row r="232" s="27" customFormat="1" ht="12.75" customHeight="1" x14ac:dyDescent="0.2"/>
    <row r="233" s="27" customFormat="1" ht="12.75" customHeight="1" x14ac:dyDescent="0.2"/>
    <row r="234" s="27" customFormat="1" ht="12.75" customHeight="1" x14ac:dyDescent="0.2"/>
    <row r="235" s="27" customFormat="1" ht="12.75" customHeight="1" x14ac:dyDescent="0.2"/>
    <row r="236" s="27" customFormat="1" ht="12.75" customHeight="1" x14ac:dyDescent="0.2"/>
    <row r="237" s="27" customFormat="1" ht="12.75" customHeight="1" x14ac:dyDescent="0.2"/>
    <row r="238" s="27" customFormat="1" ht="12.75" customHeight="1" x14ac:dyDescent="0.2"/>
    <row r="239" s="27" customFormat="1" ht="12.75" customHeight="1" x14ac:dyDescent="0.2"/>
    <row r="240" s="27" customFormat="1" ht="12.75" customHeight="1" x14ac:dyDescent="0.2"/>
    <row r="241" s="27" customFormat="1" ht="12.75" customHeight="1" x14ac:dyDescent="0.2"/>
    <row r="242" s="27" customFormat="1" ht="12.75" customHeight="1" x14ac:dyDescent="0.2"/>
    <row r="243" s="27" customFormat="1" ht="12.75" customHeight="1" x14ac:dyDescent="0.2"/>
    <row r="244" s="27" customFormat="1" ht="12.75" customHeight="1" x14ac:dyDescent="0.2"/>
    <row r="245" s="27" customFormat="1" ht="12.75" customHeight="1" x14ac:dyDescent="0.2"/>
    <row r="246" s="27" customFormat="1" ht="12.75" customHeight="1" x14ac:dyDescent="0.2"/>
    <row r="247" s="27" customFormat="1" ht="12.75" customHeight="1" x14ac:dyDescent="0.2"/>
    <row r="248" s="27" customFormat="1" ht="12.75" customHeight="1" x14ac:dyDescent="0.2"/>
    <row r="249" s="27" customFormat="1" ht="12.75" customHeight="1" x14ac:dyDescent="0.2"/>
    <row r="250" s="27" customFormat="1" ht="12.75" customHeight="1" x14ac:dyDescent="0.2"/>
    <row r="251" s="27" customFormat="1" ht="12.75" customHeight="1" x14ac:dyDescent="0.2"/>
    <row r="252" s="27" customFormat="1" ht="12.75" customHeight="1" x14ac:dyDescent="0.2"/>
    <row r="253" s="27" customFormat="1" ht="12.75" customHeight="1" x14ac:dyDescent="0.2"/>
    <row r="254" s="27" customFormat="1" ht="12.75" customHeight="1" x14ac:dyDescent="0.2"/>
    <row r="255" s="27" customFormat="1" ht="12.75" customHeight="1" x14ac:dyDescent="0.2"/>
    <row r="256" s="27" customFormat="1" ht="12.75" customHeight="1" x14ac:dyDescent="0.2"/>
    <row r="257" s="27" customFormat="1" ht="12.75" customHeight="1" x14ac:dyDescent="0.2"/>
    <row r="258" s="27" customFormat="1" ht="12.75" customHeight="1" x14ac:dyDescent="0.2"/>
    <row r="259" s="27" customFormat="1" ht="12.75" customHeight="1" x14ac:dyDescent="0.2"/>
    <row r="260" s="27" customFormat="1" ht="12.75" customHeight="1" x14ac:dyDescent="0.2"/>
    <row r="261" s="27" customFormat="1" ht="12.75" customHeight="1" x14ac:dyDescent="0.2"/>
    <row r="262" s="27" customFormat="1" ht="12.75" customHeight="1" x14ac:dyDescent="0.2"/>
    <row r="263" s="27" customFormat="1" ht="12.75" customHeight="1" x14ac:dyDescent="0.2"/>
    <row r="264" s="27" customFormat="1" ht="12.75" customHeight="1" x14ac:dyDescent="0.2"/>
    <row r="265" s="27" customFormat="1" ht="12.75" customHeight="1" x14ac:dyDescent="0.2"/>
    <row r="266" s="27" customFormat="1" ht="12.75" customHeight="1" x14ac:dyDescent="0.2"/>
    <row r="267" s="27" customFormat="1" ht="12.75" customHeight="1" x14ac:dyDescent="0.2"/>
    <row r="268" s="27" customFormat="1" ht="12.75" customHeight="1" x14ac:dyDescent="0.2"/>
    <row r="269" s="27" customFormat="1" ht="12.75" customHeight="1" x14ac:dyDescent="0.2"/>
    <row r="270" s="27" customFormat="1" ht="12.75" customHeight="1" x14ac:dyDescent="0.2"/>
    <row r="271" s="27" customFormat="1" ht="12.75" customHeight="1" x14ac:dyDescent="0.2"/>
    <row r="272" s="27" customFormat="1" ht="12.75" customHeight="1" x14ac:dyDescent="0.2"/>
    <row r="273" s="27" customFormat="1" ht="12.75" customHeight="1" x14ac:dyDescent="0.2"/>
    <row r="274" s="27" customFormat="1" ht="12.75" customHeight="1" x14ac:dyDescent="0.2"/>
    <row r="275" s="27" customFormat="1" ht="12.75" customHeight="1" x14ac:dyDescent="0.2"/>
    <row r="276" s="27" customFormat="1" ht="12.75" customHeight="1" x14ac:dyDescent="0.2"/>
    <row r="277" s="27" customFormat="1" ht="12.75" customHeight="1" x14ac:dyDescent="0.2"/>
    <row r="278" s="27" customFormat="1" ht="12.75" customHeight="1" x14ac:dyDescent="0.2"/>
    <row r="279" s="27" customFormat="1" ht="12.75" customHeight="1" x14ac:dyDescent="0.2"/>
    <row r="280" s="27" customFormat="1" ht="12.75" customHeight="1" x14ac:dyDescent="0.2"/>
    <row r="281" s="27" customFormat="1" ht="12.75" customHeight="1" x14ac:dyDescent="0.2"/>
    <row r="282" s="27" customFormat="1" ht="12.75" customHeight="1" x14ac:dyDescent="0.2"/>
    <row r="283" s="27" customFormat="1" ht="12.75" customHeight="1" x14ac:dyDescent="0.2"/>
    <row r="284" s="27" customFormat="1" ht="12.75" customHeight="1" x14ac:dyDescent="0.2"/>
    <row r="285" s="27" customFormat="1" ht="12.75" customHeight="1" x14ac:dyDescent="0.2"/>
    <row r="286" s="27" customFormat="1" ht="12.75" customHeight="1" x14ac:dyDescent="0.2"/>
    <row r="287" s="27" customFormat="1" ht="12.75" customHeight="1" x14ac:dyDescent="0.2"/>
    <row r="288" s="27" customFormat="1" ht="12.75" customHeight="1" x14ac:dyDescent="0.2"/>
    <row r="289" s="27" customFormat="1" ht="12.75" customHeight="1" x14ac:dyDescent="0.2"/>
    <row r="290" s="27" customFormat="1" ht="12.75" customHeight="1" x14ac:dyDescent="0.2"/>
    <row r="291" s="27" customFormat="1" ht="12.75" customHeight="1" x14ac:dyDescent="0.2"/>
    <row r="292" s="27" customFormat="1" ht="12.75" customHeight="1" x14ac:dyDescent="0.2"/>
    <row r="293" s="27" customFormat="1" ht="12.75" customHeight="1" x14ac:dyDescent="0.2"/>
    <row r="294" s="27" customFormat="1" ht="12.75" customHeight="1" x14ac:dyDescent="0.2"/>
    <row r="295" s="27" customFormat="1" ht="12.75" customHeight="1" x14ac:dyDescent="0.2"/>
    <row r="296" s="27" customFormat="1" ht="12.75" customHeight="1" x14ac:dyDescent="0.2"/>
    <row r="297" s="27" customFormat="1" ht="12.75" customHeight="1" x14ac:dyDescent="0.2"/>
    <row r="298" s="27" customFormat="1" ht="12.75" customHeight="1" x14ac:dyDescent="0.2"/>
    <row r="299" s="27" customFormat="1" ht="12.75" customHeight="1" x14ac:dyDescent="0.2"/>
    <row r="300" s="27" customFormat="1" ht="12.75" customHeight="1" x14ac:dyDescent="0.2"/>
    <row r="301" s="27" customFormat="1" ht="12.75" customHeight="1" x14ac:dyDescent="0.2"/>
    <row r="302" s="27" customFormat="1" ht="12.75" customHeight="1" x14ac:dyDescent="0.2"/>
    <row r="303" s="27" customFormat="1" ht="12.75" customHeight="1" x14ac:dyDescent="0.2"/>
    <row r="304" s="27" customFormat="1" ht="12.75" customHeight="1" x14ac:dyDescent="0.2"/>
    <row r="305" s="27" customFormat="1" ht="12.75" customHeight="1" x14ac:dyDescent="0.2"/>
    <row r="306" s="27" customFormat="1" ht="12.75" customHeight="1" x14ac:dyDescent="0.2"/>
    <row r="307" s="27" customFormat="1" ht="12.75" customHeight="1" x14ac:dyDescent="0.2"/>
    <row r="308" s="27" customFormat="1" ht="12.75" customHeight="1" x14ac:dyDescent="0.2"/>
    <row r="309" s="27" customFormat="1" ht="12.75" customHeight="1" x14ac:dyDescent="0.2"/>
    <row r="310" s="27" customFormat="1" ht="12.75" customHeight="1" x14ac:dyDescent="0.2"/>
    <row r="311" s="27" customFormat="1" ht="12.75" customHeight="1" x14ac:dyDescent="0.2"/>
    <row r="312" s="27" customFormat="1" ht="12.75" customHeight="1" x14ac:dyDescent="0.2"/>
    <row r="313" s="27" customFormat="1" ht="12.75" customHeight="1" x14ac:dyDescent="0.2"/>
    <row r="314" s="27" customFormat="1" ht="12.75" customHeight="1" x14ac:dyDescent="0.2"/>
    <row r="315" s="27" customFormat="1" ht="12.75" customHeight="1" x14ac:dyDescent="0.2"/>
    <row r="316" s="27" customFormat="1" ht="12.75" customHeight="1" x14ac:dyDescent="0.2"/>
    <row r="317" s="27" customFormat="1" ht="12.75" customHeight="1" x14ac:dyDescent="0.2"/>
    <row r="318" s="27" customFormat="1" ht="12.75" customHeight="1" x14ac:dyDescent="0.2"/>
    <row r="319" s="27" customFormat="1" ht="12.75" customHeight="1" x14ac:dyDescent="0.2"/>
    <row r="320" s="27" customFormat="1" ht="12.75" customHeight="1" x14ac:dyDescent="0.2"/>
    <row r="321" s="27" customFormat="1" ht="12.75" customHeight="1" x14ac:dyDescent="0.2"/>
    <row r="322" s="27" customFormat="1" ht="12.75" customHeight="1" x14ac:dyDescent="0.2"/>
    <row r="323" s="27" customFormat="1" ht="12.75" customHeight="1" x14ac:dyDescent="0.2"/>
    <row r="324" s="27" customFormat="1" ht="12.75" customHeight="1" x14ac:dyDescent="0.2"/>
    <row r="325" s="27" customFormat="1" ht="12.75" customHeight="1" x14ac:dyDescent="0.2"/>
    <row r="326" s="27" customFormat="1" ht="12.75" customHeight="1" x14ac:dyDescent="0.2"/>
    <row r="327" s="27" customFormat="1" ht="12.75" customHeight="1" x14ac:dyDescent="0.2"/>
    <row r="328" s="27" customFormat="1" ht="12.75" customHeight="1" x14ac:dyDescent="0.2"/>
    <row r="329" s="27" customFormat="1" ht="12.75" customHeight="1" x14ac:dyDescent="0.2"/>
    <row r="330" s="27" customFormat="1" ht="12.75" customHeight="1" x14ac:dyDescent="0.2"/>
    <row r="331" s="27" customFormat="1" ht="12.75" customHeight="1" x14ac:dyDescent="0.2"/>
    <row r="332" s="27" customFormat="1" ht="12.75" customHeight="1" x14ac:dyDescent="0.2"/>
    <row r="333" s="27" customFormat="1" ht="12.75" customHeight="1" x14ac:dyDescent="0.2"/>
    <row r="334" s="27" customFormat="1" ht="12.75" customHeight="1" x14ac:dyDescent="0.2"/>
    <row r="335" s="27" customFormat="1" ht="12.75" customHeight="1" x14ac:dyDescent="0.2"/>
    <row r="336" s="27" customFormat="1" ht="12.75" customHeight="1" x14ac:dyDescent="0.2"/>
    <row r="337" s="27" customFormat="1" ht="12.75" customHeight="1" x14ac:dyDescent="0.2"/>
    <row r="338" s="27" customFormat="1" ht="12.75" customHeight="1" x14ac:dyDescent="0.2"/>
    <row r="339" s="27" customFormat="1" ht="12.75" customHeight="1" x14ac:dyDescent="0.2"/>
    <row r="340" s="27" customFormat="1" ht="12.75" customHeight="1" x14ac:dyDescent="0.2"/>
    <row r="341" s="27" customFormat="1" ht="12.75" customHeight="1" x14ac:dyDescent="0.2"/>
    <row r="342" s="27" customFormat="1" ht="12.75" customHeight="1" x14ac:dyDescent="0.2"/>
    <row r="343" s="27" customFormat="1" ht="12.75" customHeight="1" x14ac:dyDescent="0.2"/>
    <row r="344" s="27" customFormat="1" ht="12.75" customHeight="1" x14ac:dyDescent="0.2"/>
    <row r="345" s="27" customFormat="1" ht="12.75" customHeight="1" x14ac:dyDescent="0.2"/>
    <row r="346" s="27" customFormat="1" ht="12.75" customHeight="1" x14ac:dyDescent="0.2"/>
    <row r="347" s="27" customFormat="1" ht="12.75" customHeight="1" x14ac:dyDescent="0.2"/>
    <row r="348" s="27" customFormat="1" ht="12.75" customHeight="1" x14ac:dyDescent="0.2"/>
    <row r="349" s="27" customFormat="1" ht="12.75" customHeight="1" x14ac:dyDescent="0.2"/>
    <row r="350" s="27" customFormat="1" ht="12.75" customHeight="1" x14ac:dyDescent="0.2"/>
    <row r="351" s="27" customFormat="1" ht="12.75" customHeight="1" x14ac:dyDescent="0.2"/>
    <row r="352" s="27" customFormat="1" ht="12.75" customHeight="1" x14ac:dyDescent="0.2"/>
    <row r="353" s="27" customFormat="1" ht="12.75" customHeight="1" x14ac:dyDescent="0.2"/>
    <row r="354" s="27" customFormat="1" ht="12.75" customHeight="1" x14ac:dyDescent="0.2"/>
    <row r="355" s="27" customFormat="1" ht="12.75" customHeight="1" x14ac:dyDescent="0.2"/>
    <row r="356" s="27" customFormat="1" ht="12.75" customHeight="1" x14ac:dyDescent="0.2"/>
    <row r="357" s="27" customFormat="1" ht="12.75" customHeight="1" x14ac:dyDescent="0.2"/>
    <row r="358" s="27" customFormat="1" ht="12.75" customHeight="1" x14ac:dyDescent="0.2"/>
    <row r="359" s="27" customFormat="1" ht="12.75" customHeight="1" x14ac:dyDescent="0.2"/>
    <row r="360" s="27" customFormat="1" ht="12.75" customHeight="1" x14ac:dyDescent="0.2"/>
    <row r="361" s="27" customFormat="1" ht="12.75" customHeight="1" x14ac:dyDescent="0.2"/>
    <row r="362" s="27" customFormat="1" ht="12.75" customHeight="1" x14ac:dyDescent="0.2"/>
    <row r="363" s="27" customFormat="1" ht="12.75" customHeight="1" x14ac:dyDescent="0.2"/>
    <row r="364" s="27" customFormat="1" ht="12.75" customHeight="1" x14ac:dyDescent="0.2"/>
    <row r="365" s="27" customFormat="1" ht="12.75" customHeight="1" x14ac:dyDescent="0.2"/>
    <row r="366" s="27" customFormat="1" ht="12.75" customHeight="1" x14ac:dyDescent="0.2"/>
    <row r="367" s="27" customFormat="1" ht="12.75" customHeight="1" x14ac:dyDescent="0.2"/>
    <row r="368" s="27" customFormat="1" ht="12.75" customHeight="1" x14ac:dyDescent="0.2"/>
    <row r="369" s="27" customFormat="1" ht="12.75" customHeight="1" x14ac:dyDescent="0.2"/>
    <row r="370" s="27" customFormat="1" ht="12.75" customHeight="1" x14ac:dyDescent="0.2"/>
    <row r="371" s="27" customFormat="1" ht="12.75" customHeight="1" x14ac:dyDescent="0.2"/>
    <row r="372" s="27" customFormat="1" ht="12.75" customHeight="1" x14ac:dyDescent="0.2"/>
    <row r="373" s="27" customFormat="1" ht="12.75" customHeight="1" x14ac:dyDescent="0.2"/>
    <row r="374" s="27" customFormat="1" ht="12.75" customHeight="1" x14ac:dyDescent="0.2"/>
    <row r="375" s="27" customFormat="1" ht="12.75" customHeight="1" x14ac:dyDescent="0.2"/>
    <row r="376" s="27" customFormat="1" ht="12.75" customHeight="1" x14ac:dyDescent="0.2"/>
    <row r="377" s="27" customFormat="1" ht="12.75" customHeight="1" x14ac:dyDescent="0.2"/>
    <row r="378" s="27" customFormat="1" ht="12.75" customHeight="1" x14ac:dyDescent="0.2"/>
    <row r="379" s="27" customFormat="1" ht="12.75" customHeight="1" x14ac:dyDescent="0.2"/>
    <row r="380" s="27" customFormat="1" ht="12.75" customHeight="1" x14ac:dyDescent="0.2"/>
    <row r="381" s="27" customFormat="1" ht="12.75" customHeight="1" x14ac:dyDescent="0.2"/>
    <row r="382" s="27" customFormat="1" ht="12.75" customHeight="1" x14ac:dyDescent="0.2"/>
    <row r="383" s="27" customFormat="1" ht="12.75" customHeight="1" x14ac:dyDescent="0.2"/>
    <row r="384" s="27" customFormat="1" ht="12.75" customHeight="1" x14ac:dyDescent="0.2"/>
    <row r="385" s="27" customFormat="1" ht="12.75" customHeight="1" x14ac:dyDescent="0.2"/>
    <row r="386" s="27" customFormat="1" ht="12.75" customHeight="1" x14ac:dyDescent="0.2"/>
    <row r="387" s="27" customFormat="1" ht="12.75" customHeight="1" x14ac:dyDescent="0.2"/>
    <row r="388" s="27" customFormat="1" ht="12.75" customHeight="1" x14ac:dyDescent="0.2"/>
    <row r="389" s="27" customFormat="1" ht="12.75" customHeight="1" x14ac:dyDescent="0.2"/>
    <row r="390" s="27" customFormat="1" ht="12.75" customHeight="1" x14ac:dyDescent="0.2"/>
    <row r="391" s="27" customFormat="1" ht="12.75" customHeight="1" x14ac:dyDescent="0.2"/>
    <row r="392" s="27" customFormat="1" ht="12.75" customHeight="1" x14ac:dyDescent="0.2"/>
    <row r="393" s="27" customFormat="1" ht="12.75" customHeight="1" x14ac:dyDescent="0.2"/>
    <row r="394" s="27" customFormat="1" ht="12.75" customHeight="1" x14ac:dyDescent="0.2"/>
    <row r="395" s="27" customFormat="1" ht="12.75" customHeight="1" x14ac:dyDescent="0.2"/>
    <row r="396" s="27" customFormat="1" ht="12.75" customHeight="1" x14ac:dyDescent="0.2"/>
    <row r="397" s="27" customFormat="1" ht="12.75" customHeight="1" x14ac:dyDescent="0.2"/>
    <row r="398" s="27" customFormat="1" ht="12.75" customHeight="1" x14ac:dyDescent="0.2"/>
    <row r="399" s="27" customFormat="1" ht="12.75" customHeight="1" x14ac:dyDescent="0.2"/>
    <row r="400" s="27" customFormat="1" ht="12.75" customHeight="1" x14ac:dyDescent="0.2"/>
    <row r="401" s="27" customFormat="1" ht="12.75" customHeight="1" x14ac:dyDescent="0.2"/>
    <row r="402" s="27" customFormat="1" ht="12.75" customHeight="1" x14ac:dyDescent="0.2"/>
    <row r="403" s="27" customFormat="1" ht="12.75" customHeight="1" x14ac:dyDescent="0.2"/>
    <row r="404" s="27" customFormat="1" ht="12.75" customHeight="1" x14ac:dyDescent="0.2"/>
    <row r="405" s="27" customFormat="1" ht="12.75" customHeight="1" x14ac:dyDescent="0.2"/>
    <row r="406" s="27" customFormat="1" ht="12.75" customHeight="1" x14ac:dyDescent="0.2"/>
    <row r="407" s="27" customFormat="1" ht="12.75" customHeight="1" x14ac:dyDescent="0.2"/>
    <row r="408" s="27" customFormat="1" ht="12.75" customHeight="1" x14ac:dyDescent="0.2"/>
    <row r="409" s="27" customFormat="1" ht="12.75" customHeight="1" x14ac:dyDescent="0.2"/>
    <row r="410" s="27" customFormat="1" ht="12.75" customHeight="1" x14ac:dyDescent="0.2"/>
    <row r="411" s="27" customFormat="1" ht="12.75" customHeight="1" x14ac:dyDescent="0.2"/>
    <row r="412" s="27" customFormat="1" ht="12.75" customHeight="1" x14ac:dyDescent="0.2"/>
    <row r="413" s="27" customFormat="1" ht="12.75" customHeight="1" x14ac:dyDescent="0.2"/>
    <row r="414" s="27" customFormat="1" ht="12.75" customHeight="1" x14ac:dyDescent="0.2"/>
    <row r="415" s="27" customFormat="1" ht="12.75" customHeight="1" x14ac:dyDescent="0.2"/>
    <row r="416" s="27" customFormat="1" ht="12.75" customHeight="1" x14ac:dyDescent="0.2"/>
    <row r="417" s="27" customFormat="1" ht="12.75" customHeight="1" x14ac:dyDescent="0.2"/>
    <row r="418" s="27" customFormat="1" ht="12.75" customHeight="1" x14ac:dyDescent="0.2"/>
    <row r="419" s="27" customFormat="1" ht="12.75" customHeight="1" x14ac:dyDescent="0.2"/>
    <row r="420" s="27" customFormat="1" ht="12.75" customHeight="1" x14ac:dyDescent="0.2"/>
    <row r="421" s="27" customFormat="1" ht="12.75" customHeight="1" x14ac:dyDescent="0.2"/>
    <row r="422" s="27" customFormat="1" ht="12.75" customHeight="1" x14ac:dyDescent="0.2"/>
    <row r="423" s="27" customFormat="1" ht="12.75" customHeight="1" x14ac:dyDescent="0.2"/>
    <row r="424" s="27" customFormat="1" ht="12.75" customHeight="1" x14ac:dyDescent="0.2"/>
    <row r="425" s="27" customFormat="1" ht="12.75" customHeight="1" x14ac:dyDescent="0.2"/>
    <row r="426" s="27" customFormat="1" ht="12.75" customHeight="1" x14ac:dyDescent="0.2"/>
    <row r="427" s="27" customFormat="1" ht="12.75" customHeight="1" x14ac:dyDescent="0.2"/>
    <row r="428" s="27" customFormat="1" ht="12.75" customHeight="1" x14ac:dyDescent="0.2"/>
    <row r="429" s="27" customFormat="1" ht="12.75" customHeight="1" x14ac:dyDescent="0.2"/>
    <row r="430" s="27" customFormat="1" ht="12.75" customHeight="1" x14ac:dyDescent="0.2"/>
    <row r="431" s="27" customFormat="1" ht="12.75" customHeight="1" x14ac:dyDescent="0.2"/>
    <row r="432" s="27" customFormat="1" ht="12.75" customHeight="1" x14ac:dyDescent="0.2"/>
    <row r="433" s="27" customFormat="1" ht="12.75" customHeight="1" x14ac:dyDescent="0.2"/>
    <row r="434" s="27" customFormat="1" ht="12.75" customHeight="1" x14ac:dyDescent="0.2"/>
    <row r="435" s="27" customFormat="1" ht="12.75" customHeight="1" x14ac:dyDescent="0.2"/>
    <row r="436" s="27" customFormat="1" ht="12.75" customHeight="1" x14ac:dyDescent="0.2"/>
    <row r="437" s="27" customFormat="1" ht="12.75" customHeight="1" x14ac:dyDescent="0.2"/>
    <row r="438" s="27" customFormat="1" ht="12.75" customHeight="1" x14ac:dyDescent="0.2"/>
    <row r="439" s="27" customFormat="1" ht="12.75" customHeight="1" x14ac:dyDescent="0.2"/>
    <row r="440" s="27" customFormat="1" ht="12.75" customHeight="1" x14ac:dyDescent="0.2"/>
    <row r="441" s="27" customFormat="1" ht="12.75" customHeight="1" x14ac:dyDescent="0.2"/>
    <row r="442" s="27" customFormat="1" ht="12.75" customHeight="1" x14ac:dyDescent="0.2"/>
    <row r="443" s="27" customFormat="1" ht="12.75" customHeight="1" x14ac:dyDescent="0.2"/>
    <row r="444" s="27" customFormat="1" ht="12.75" customHeight="1" x14ac:dyDescent="0.2"/>
    <row r="445" s="27" customFormat="1" ht="12.75" customHeight="1" x14ac:dyDescent="0.2"/>
    <row r="446" s="27" customFormat="1" ht="12.75" customHeight="1" x14ac:dyDescent="0.2"/>
    <row r="447" s="27" customFormat="1" ht="12.75" customHeight="1" x14ac:dyDescent="0.2"/>
    <row r="448" s="27" customFormat="1" ht="12.75" customHeight="1" x14ac:dyDescent="0.2"/>
    <row r="449" s="27" customFormat="1" ht="12.75" customHeight="1" x14ac:dyDescent="0.2"/>
    <row r="450" s="27" customFormat="1" ht="12.75" customHeight="1" x14ac:dyDescent="0.2"/>
    <row r="451" s="27" customFormat="1" ht="12.75" customHeight="1" x14ac:dyDescent="0.2"/>
    <row r="452" s="27" customFormat="1" ht="12.75" customHeight="1" x14ac:dyDescent="0.2"/>
    <row r="453" s="27" customFormat="1" ht="12.75" customHeight="1" x14ac:dyDescent="0.2"/>
    <row r="454" s="27" customFormat="1" ht="12.75" customHeight="1" x14ac:dyDescent="0.2"/>
    <row r="455" s="27" customFormat="1" ht="12.75" customHeight="1" x14ac:dyDescent="0.2"/>
    <row r="456" s="27" customFormat="1" ht="12.75" customHeight="1" x14ac:dyDescent="0.2"/>
    <row r="457" s="27" customFormat="1" ht="12.75" customHeight="1" x14ac:dyDescent="0.2"/>
    <row r="458" s="27" customFormat="1" ht="12.75" customHeight="1" x14ac:dyDescent="0.2"/>
    <row r="459" s="27" customFormat="1" ht="12.75" customHeight="1" x14ac:dyDescent="0.2"/>
    <row r="460" s="27" customFormat="1" ht="12.75" customHeight="1" x14ac:dyDescent="0.2"/>
    <row r="461" s="27" customFormat="1" ht="12.75" customHeight="1" x14ac:dyDescent="0.2"/>
    <row r="462" s="27" customFormat="1" ht="12.75" customHeight="1" x14ac:dyDescent="0.2"/>
    <row r="463" s="27" customFormat="1" ht="12.75" customHeight="1" x14ac:dyDescent="0.2"/>
    <row r="464" s="27" customFormat="1" ht="12.75" customHeight="1" x14ac:dyDescent="0.2"/>
    <row r="465" s="27" customFormat="1" ht="12.75" customHeight="1" x14ac:dyDescent="0.2"/>
    <row r="466" s="27" customFormat="1" ht="12.75" customHeight="1" x14ac:dyDescent="0.2"/>
    <row r="467" s="27" customFormat="1" ht="12.75" customHeight="1" x14ac:dyDescent="0.2"/>
    <row r="468" s="27" customFormat="1" ht="12.75" customHeight="1" x14ac:dyDescent="0.2"/>
    <row r="469" s="27" customFormat="1" ht="12.75" customHeight="1" x14ac:dyDescent="0.2"/>
    <row r="470" s="27" customFormat="1" ht="12.75" customHeight="1" x14ac:dyDescent="0.2"/>
    <row r="471" s="27" customFormat="1" ht="12.75" customHeight="1" x14ac:dyDescent="0.2"/>
    <row r="472" s="27" customFormat="1" ht="12.75" customHeight="1" x14ac:dyDescent="0.2"/>
    <row r="473" s="27" customFormat="1" ht="12.75" customHeight="1" x14ac:dyDescent="0.2"/>
    <row r="474" s="27" customFormat="1" ht="12.75" customHeight="1" x14ac:dyDescent="0.2"/>
    <row r="475" s="27" customFormat="1" ht="12.75" customHeight="1" x14ac:dyDescent="0.2"/>
    <row r="476" s="27" customFormat="1" ht="12.75" customHeight="1" x14ac:dyDescent="0.2"/>
    <row r="477" s="27" customFormat="1" ht="12.75" customHeight="1" x14ac:dyDescent="0.2"/>
    <row r="478" s="27" customFormat="1" ht="12.75" customHeight="1" x14ac:dyDescent="0.2"/>
    <row r="479" s="27" customFormat="1" ht="12.75" customHeight="1" x14ac:dyDescent="0.2"/>
    <row r="480" s="27" customFormat="1" ht="12.75" customHeight="1" x14ac:dyDescent="0.2"/>
    <row r="481" s="27" customFormat="1" ht="12.75" customHeight="1" x14ac:dyDescent="0.2"/>
    <row r="482" s="27" customFormat="1" ht="12.75" customHeight="1" x14ac:dyDescent="0.2"/>
    <row r="483" s="27" customFormat="1" ht="12.75" customHeight="1" x14ac:dyDescent="0.2"/>
    <row r="484" s="27" customFormat="1" ht="12.75" customHeight="1" x14ac:dyDescent="0.2"/>
    <row r="485" s="27" customFormat="1" ht="12.75" customHeight="1" x14ac:dyDescent="0.2"/>
    <row r="486" s="27" customFormat="1" ht="12.75" customHeight="1" x14ac:dyDescent="0.2"/>
    <row r="487" s="27" customFormat="1" ht="12.75" customHeight="1" x14ac:dyDescent="0.2"/>
    <row r="488" s="27" customFormat="1" ht="12.75" customHeight="1" x14ac:dyDescent="0.2"/>
    <row r="489" s="27" customFormat="1" ht="12.75" customHeight="1" x14ac:dyDescent="0.2"/>
    <row r="490" s="27" customFormat="1" ht="12.75" customHeight="1" x14ac:dyDescent="0.2"/>
    <row r="491" s="27" customFormat="1" ht="12.75" customHeight="1" x14ac:dyDescent="0.2"/>
    <row r="492" s="27" customFormat="1" ht="12.75" customHeight="1" x14ac:dyDescent="0.2"/>
    <row r="493" s="27" customFormat="1" ht="12.75" customHeight="1" x14ac:dyDescent="0.2"/>
    <row r="494" s="27" customFormat="1" ht="12.75" customHeight="1" x14ac:dyDescent="0.2"/>
    <row r="495" s="27" customFormat="1" ht="12.75" customHeight="1" x14ac:dyDescent="0.2"/>
    <row r="496" s="27" customFormat="1" ht="12.75" customHeight="1" x14ac:dyDescent="0.2"/>
    <row r="497" s="27" customFormat="1" ht="12.75" customHeight="1" x14ac:dyDescent="0.2"/>
    <row r="498" s="27" customFormat="1" ht="12.75" customHeight="1" x14ac:dyDescent="0.2"/>
    <row r="499" s="27" customFormat="1" ht="12.75" customHeight="1" x14ac:dyDescent="0.2"/>
    <row r="500" s="27" customFormat="1" ht="12.75" customHeight="1" x14ac:dyDescent="0.2"/>
    <row r="501" s="27" customFormat="1" ht="12.75" customHeight="1" x14ac:dyDescent="0.2"/>
    <row r="502" s="27" customFormat="1" ht="12.75" customHeight="1" x14ac:dyDescent="0.2"/>
    <row r="503" s="27" customFormat="1" ht="12.75" customHeight="1" x14ac:dyDescent="0.2"/>
    <row r="504" s="27" customFormat="1" ht="12.75" customHeight="1" x14ac:dyDescent="0.2"/>
    <row r="505" s="27" customFormat="1" ht="12.75" customHeight="1" x14ac:dyDescent="0.2"/>
    <row r="506" s="27" customFormat="1" ht="12.75" customHeight="1" x14ac:dyDescent="0.2"/>
    <row r="507" s="27" customFormat="1" ht="12.75" customHeight="1" x14ac:dyDescent="0.2"/>
    <row r="508" s="27" customFormat="1" ht="12.75" customHeight="1" x14ac:dyDescent="0.2"/>
    <row r="509" s="27" customFormat="1" ht="12.75" customHeight="1" x14ac:dyDescent="0.2"/>
    <row r="510" s="27" customFormat="1" ht="12.75" customHeight="1" x14ac:dyDescent="0.2"/>
    <row r="511" s="27" customFormat="1" ht="12.75" customHeight="1" x14ac:dyDescent="0.2"/>
    <row r="512" s="27" customFormat="1" ht="12.75" customHeight="1" x14ac:dyDescent="0.2"/>
    <row r="513" s="27" customFormat="1" ht="12.75" customHeight="1" x14ac:dyDescent="0.2"/>
    <row r="514" s="27" customFormat="1" ht="12.75" customHeight="1" x14ac:dyDescent="0.2"/>
    <row r="515" s="27" customFormat="1" ht="12.75" customHeight="1" x14ac:dyDescent="0.2"/>
    <row r="516" s="27" customFormat="1" ht="12.75" customHeight="1" x14ac:dyDescent="0.2"/>
    <row r="517" s="27" customFormat="1" ht="12.75" customHeight="1" x14ac:dyDescent="0.2"/>
    <row r="518" s="27" customFormat="1" ht="12.75" customHeight="1" x14ac:dyDescent="0.2"/>
    <row r="519" s="27" customFormat="1" ht="12.75" customHeight="1" x14ac:dyDescent="0.2"/>
    <row r="520" s="27" customFormat="1" ht="12.75" customHeight="1" x14ac:dyDescent="0.2"/>
    <row r="521" s="27" customFormat="1" ht="12.75" customHeight="1" x14ac:dyDescent="0.2"/>
    <row r="522" s="27" customFormat="1" ht="12.75" customHeight="1" x14ac:dyDescent="0.2"/>
    <row r="523" s="27" customFormat="1" ht="12.75" customHeight="1" x14ac:dyDescent="0.2"/>
    <row r="524" s="27" customFormat="1" ht="12.75" customHeight="1" x14ac:dyDescent="0.2"/>
    <row r="525" s="27" customFormat="1" ht="12.75" customHeight="1" x14ac:dyDescent="0.2"/>
    <row r="526" s="27" customFormat="1" ht="12.75" customHeight="1" x14ac:dyDescent="0.2"/>
    <row r="527" s="27" customFormat="1" ht="12.75" customHeight="1" x14ac:dyDescent="0.2"/>
    <row r="528" s="27" customFormat="1" ht="12.75" customHeight="1" x14ac:dyDescent="0.2"/>
    <row r="529" s="27" customFormat="1" ht="12.75" customHeight="1" x14ac:dyDescent="0.2"/>
    <row r="530" s="27" customFormat="1" ht="12.75" customHeight="1" x14ac:dyDescent="0.2"/>
    <row r="531" s="27" customFormat="1" ht="12.75" customHeight="1" x14ac:dyDescent="0.2"/>
    <row r="532" s="27" customFormat="1" ht="12.75" customHeight="1" x14ac:dyDescent="0.2"/>
    <row r="533" s="27" customFormat="1" ht="12.75" customHeight="1" x14ac:dyDescent="0.2"/>
    <row r="534" s="27" customFormat="1" ht="12.75" customHeight="1" x14ac:dyDescent="0.2"/>
    <row r="535" s="27" customFormat="1" ht="12.75" customHeight="1" x14ac:dyDescent="0.2"/>
    <row r="536" s="27" customFormat="1" ht="12.75" customHeight="1" x14ac:dyDescent="0.2"/>
    <row r="537" s="27" customFormat="1" ht="12.75" customHeight="1" x14ac:dyDescent="0.2"/>
    <row r="538" s="27" customFormat="1" ht="12.75" customHeight="1" x14ac:dyDescent="0.2"/>
    <row r="539" s="27" customFormat="1" ht="12.75" customHeight="1" x14ac:dyDescent="0.2"/>
    <row r="540" s="27" customFormat="1" ht="12.75" customHeight="1" x14ac:dyDescent="0.2"/>
    <row r="541" s="27" customFormat="1" ht="12.75" customHeight="1" x14ac:dyDescent="0.2"/>
    <row r="542" s="27" customFormat="1" ht="12.75" customHeight="1" x14ac:dyDescent="0.2"/>
    <row r="543" s="27" customFormat="1" ht="12.75" customHeight="1" x14ac:dyDescent="0.2"/>
    <row r="544" s="27" customFormat="1" ht="12.75" customHeight="1" x14ac:dyDescent="0.2"/>
    <row r="545" s="27" customFormat="1" ht="12.75" customHeight="1" x14ac:dyDescent="0.2"/>
    <row r="546" s="27" customFormat="1" ht="12.75" customHeight="1" x14ac:dyDescent="0.2"/>
    <row r="547" s="27" customFormat="1" ht="12.75" customHeight="1" x14ac:dyDescent="0.2"/>
    <row r="548" s="27" customFormat="1" ht="12.75" customHeight="1" x14ac:dyDescent="0.2"/>
    <row r="549" s="27" customFormat="1" ht="12.75" customHeight="1" x14ac:dyDescent="0.2"/>
    <row r="550" s="27" customFormat="1" ht="12.75" customHeight="1" x14ac:dyDescent="0.2"/>
    <row r="551" s="27" customFormat="1" ht="12.75" customHeight="1" x14ac:dyDescent="0.2"/>
    <row r="552" s="27" customFormat="1" ht="12.75" customHeight="1" x14ac:dyDescent="0.2"/>
    <row r="553" s="27" customFormat="1" ht="12.75" customHeight="1" x14ac:dyDescent="0.2"/>
    <row r="554" s="27" customFormat="1" ht="12.75" customHeight="1" x14ac:dyDescent="0.2"/>
    <row r="555" s="27" customFormat="1" ht="12.75" customHeight="1" x14ac:dyDescent="0.2"/>
    <row r="556" s="27" customFormat="1" ht="12.75" customHeight="1" x14ac:dyDescent="0.2"/>
    <row r="557" s="27" customFormat="1" ht="12.75" customHeight="1" x14ac:dyDescent="0.2"/>
    <row r="558" s="27" customFormat="1" ht="12.75" customHeight="1" x14ac:dyDescent="0.2"/>
    <row r="559" s="27" customFormat="1" ht="12.75" customHeight="1" x14ac:dyDescent="0.2"/>
    <row r="560" s="27" customFormat="1" ht="12.75" customHeight="1" x14ac:dyDescent="0.2"/>
    <row r="561" s="27" customFormat="1" ht="12.75" customHeight="1" x14ac:dyDescent="0.2"/>
    <row r="562" s="27" customFormat="1" ht="12.75" customHeight="1" x14ac:dyDescent="0.2"/>
    <row r="563" s="27" customFormat="1" ht="12.75" customHeight="1" x14ac:dyDescent="0.2"/>
    <row r="564" s="27" customFormat="1" ht="12.75" customHeight="1" x14ac:dyDescent="0.2"/>
    <row r="565" s="27" customFormat="1" ht="12.75" customHeight="1" x14ac:dyDescent="0.2"/>
    <row r="566" s="27" customFormat="1" ht="12.75" customHeight="1" x14ac:dyDescent="0.2"/>
    <row r="567" s="27" customFormat="1" ht="12.75" customHeight="1" x14ac:dyDescent="0.2"/>
    <row r="568" s="27" customFormat="1" ht="12.75" customHeight="1" x14ac:dyDescent="0.2"/>
    <row r="569" s="27" customFormat="1" ht="12.75" customHeight="1" x14ac:dyDescent="0.2"/>
    <row r="570" s="27" customFormat="1" ht="12.75" customHeight="1" x14ac:dyDescent="0.2"/>
    <row r="571" s="27" customFormat="1" ht="12.75" customHeight="1" x14ac:dyDescent="0.2"/>
    <row r="572" s="27" customFormat="1" ht="12.75" customHeight="1" x14ac:dyDescent="0.2"/>
    <row r="573" s="27" customFormat="1" ht="12.75" customHeight="1" x14ac:dyDescent="0.2"/>
    <row r="574" s="27" customFormat="1" ht="12.75" customHeight="1" x14ac:dyDescent="0.2"/>
    <row r="575" s="27" customFormat="1" ht="12.75" customHeight="1" x14ac:dyDescent="0.2"/>
    <row r="576" s="27" customFormat="1" ht="12.75" customHeight="1" x14ac:dyDescent="0.2"/>
    <row r="577" s="27" customFormat="1" ht="12.75" customHeight="1" x14ac:dyDescent="0.2"/>
    <row r="578" s="27" customFormat="1" ht="12.75" customHeight="1" x14ac:dyDescent="0.2"/>
    <row r="579" s="27" customFormat="1" ht="12.75" customHeight="1" x14ac:dyDescent="0.2"/>
    <row r="580" s="27" customFormat="1" ht="12.75" customHeight="1" x14ac:dyDescent="0.2"/>
    <row r="581" s="27" customFormat="1" ht="12.75" customHeight="1" x14ac:dyDescent="0.2"/>
    <row r="582" s="27" customFormat="1" ht="12.75" customHeight="1" x14ac:dyDescent="0.2"/>
    <row r="583" s="27" customFormat="1" ht="12.75" customHeight="1" x14ac:dyDescent="0.2"/>
    <row r="584" s="27" customFormat="1" ht="12.75" customHeight="1" x14ac:dyDescent="0.2"/>
    <row r="585" s="27" customFormat="1" ht="12.75" customHeight="1" x14ac:dyDescent="0.2"/>
    <row r="586" s="27" customFormat="1" ht="12.75" customHeight="1" x14ac:dyDescent="0.2"/>
    <row r="587" s="27" customFormat="1" ht="12.75" customHeight="1" x14ac:dyDescent="0.2"/>
    <row r="588" s="27" customFormat="1" ht="12.75" customHeight="1" x14ac:dyDescent="0.2"/>
    <row r="589" s="27" customFormat="1" ht="12.75" customHeight="1" x14ac:dyDescent="0.2"/>
    <row r="590" s="27" customFormat="1" ht="12.75" customHeight="1" x14ac:dyDescent="0.2"/>
    <row r="591" s="27" customFormat="1" ht="12.75" customHeight="1" x14ac:dyDescent="0.2"/>
    <row r="592" s="27" customFormat="1" ht="12.75" customHeight="1" x14ac:dyDescent="0.2"/>
    <row r="593" s="27" customFormat="1" ht="12.75" customHeight="1" x14ac:dyDescent="0.2"/>
    <row r="594" s="27" customFormat="1" ht="12.75" customHeight="1" x14ac:dyDescent="0.2"/>
    <row r="595" s="27" customFormat="1" ht="12.75" customHeight="1" x14ac:dyDescent="0.2"/>
    <row r="596" s="27" customFormat="1" ht="12.75" customHeight="1" x14ac:dyDescent="0.2"/>
    <row r="597" s="27" customFormat="1" ht="12.75" customHeight="1" x14ac:dyDescent="0.2"/>
    <row r="598" s="27" customFormat="1" ht="12.75" customHeight="1" x14ac:dyDescent="0.2"/>
    <row r="599" s="27" customFormat="1" ht="12.75" customHeight="1" x14ac:dyDescent="0.2"/>
    <row r="600" s="27" customFormat="1" ht="12.75" customHeight="1" x14ac:dyDescent="0.2"/>
    <row r="601" s="27" customFormat="1" ht="12.75" customHeight="1" x14ac:dyDescent="0.2"/>
    <row r="602" s="27" customFormat="1" ht="12.75" customHeight="1" x14ac:dyDescent="0.2"/>
    <row r="603" s="27" customFormat="1" ht="12.75" customHeight="1" x14ac:dyDescent="0.2"/>
    <row r="604" s="27" customFormat="1" ht="12.75" customHeight="1" x14ac:dyDescent="0.2"/>
    <row r="605" s="27" customFormat="1" ht="12.75" customHeight="1" x14ac:dyDescent="0.2"/>
    <row r="606" s="27" customFormat="1" ht="12.75" customHeight="1" x14ac:dyDescent="0.2"/>
    <row r="607" s="27" customFormat="1" ht="12.75" customHeight="1" x14ac:dyDescent="0.2"/>
    <row r="608" s="27" customFormat="1" ht="12.75" customHeight="1" x14ac:dyDescent="0.2"/>
    <row r="609" s="27" customFormat="1" ht="12.75" customHeight="1" x14ac:dyDescent="0.2"/>
    <row r="610" s="27" customFormat="1" ht="12.75" customHeight="1" x14ac:dyDescent="0.2"/>
    <row r="611" s="27" customFormat="1" ht="12.75" customHeight="1" x14ac:dyDescent="0.2"/>
    <row r="612" s="27" customFormat="1" ht="12.75" customHeight="1" x14ac:dyDescent="0.2"/>
    <row r="613" s="27" customFormat="1" ht="12.75" customHeight="1" x14ac:dyDescent="0.2"/>
    <row r="614" s="27" customFormat="1" ht="12.75" customHeight="1" x14ac:dyDescent="0.2"/>
    <row r="615" s="27" customFormat="1" ht="12.75" customHeight="1" x14ac:dyDescent="0.2"/>
    <row r="616" s="27" customFormat="1" ht="12.75" customHeight="1" x14ac:dyDescent="0.2"/>
    <row r="617" s="27" customFormat="1" ht="12.75" customHeight="1" x14ac:dyDescent="0.2"/>
    <row r="618" s="27" customFormat="1" ht="12.75" customHeight="1" x14ac:dyDescent="0.2"/>
    <row r="619" s="27" customFormat="1" ht="12.75" customHeight="1" x14ac:dyDescent="0.2"/>
    <row r="620" s="27" customFormat="1" ht="12.75" customHeight="1" x14ac:dyDescent="0.2"/>
    <row r="621" s="27" customFormat="1" ht="12.75" customHeight="1" x14ac:dyDescent="0.2"/>
    <row r="622" s="27" customFormat="1" ht="12.75" customHeight="1" x14ac:dyDescent="0.2"/>
    <row r="623" s="27" customFormat="1" ht="12.75" customHeight="1" x14ac:dyDescent="0.2"/>
    <row r="624" s="27" customFormat="1" ht="12.75" customHeight="1" x14ac:dyDescent="0.2"/>
    <row r="625" s="27" customFormat="1" ht="12.75" customHeight="1" x14ac:dyDescent="0.2"/>
    <row r="626" s="27" customFormat="1" ht="12.75" customHeight="1" x14ac:dyDescent="0.2"/>
    <row r="627" s="27" customFormat="1" ht="12.75" customHeight="1" x14ac:dyDescent="0.2"/>
    <row r="628" s="27" customFormat="1" ht="12.75" customHeight="1" x14ac:dyDescent="0.2"/>
    <row r="629" s="27" customFormat="1" ht="12.75" customHeight="1" x14ac:dyDescent="0.2"/>
    <row r="630" s="27" customFormat="1" ht="12.75" customHeight="1" x14ac:dyDescent="0.2"/>
    <row r="631" s="27" customFormat="1" ht="12.75" customHeight="1" x14ac:dyDescent="0.2"/>
    <row r="632" s="27" customFormat="1" ht="12.75" customHeight="1" x14ac:dyDescent="0.2"/>
    <row r="633" s="27" customFormat="1" ht="12.75" customHeight="1" x14ac:dyDescent="0.2"/>
    <row r="634" s="27" customFormat="1" ht="12.75" customHeight="1" x14ac:dyDescent="0.2"/>
    <row r="635" s="27" customFormat="1" ht="12.75" customHeight="1" x14ac:dyDescent="0.2"/>
    <row r="636" s="27" customFormat="1" ht="12.75" customHeight="1" x14ac:dyDescent="0.2"/>
    <row r="637" s="27" customFormat="1" ht="12.75" customHeight="1" x14ac:dyDescent="0.2"/>
    <row r="638" s="27" customFormat="1" ht="12.75" customHeight="1" x14ac:dyDescent="0.2"/>
    <row r="639" s="27" customFormat="1" ht="12.75" customHeight="1" x14ac:dyDescent="0.2"/>
    <row r="640" s="27" customFormat="1" ht="12.75" customHeight="1" x14ac:dyDescent="0.2"/>
    <row r="641" s="27" customFormat="1" ht="12.75" customHeight="1" x14ac:dyDescent="0.2"/>
    <row r="642" s="27" customFormat="1" ht="12.75" customHeight="1" x14ac:dyDescent="0.2"/>
    <row r="643" s="27" customFormat="1" ht="12.75" customHeight="1" x14ac:dyDescent="0.2"/>
    <row r="644" s="27" customFormat="1" ht="12.75" customHeight="1" x14ac:dyDescent="0.2"/>
    <row r="645" s="27" customFormat="1" ht="12.75" customHeight="1" x14ac:dyDescent="0.2"/>
    <row r="646" s="27" customFormat="1" ht="12.75" customHeight="1" x14ac:dyDescent="0.2"/>
    <row r="647" s="27" customFormat="1" ht="12.75" customHeight="1" x14ac:dyDescent="0.2"/>
    <row r="648" s="27" customFormat="1" ht="12.75" customHeight="1" x14ac:dyDescent="0.2"/>
    <row r="649" s="27" customFormat="1" ht="12.75" customHeight="1" x14ac:dyDescent="0.2"/>
    <row r="650" s="27" customFormat="1" ht="12.75" customHeight="1" x14ac:dyDescent="0.2"/>
    <row r="651" s="27" customFormat="1" ht="12.75" customHeight="1" x14ac:dyDescent="0.2"/>
    <row r="652" s="27" customFormat="1" ht="12.75" customHeight="1" x14ac:dyDescent="0.2"/>
    <row r="653" s="27" customFormat="1" ht="12.75" customHeight="1" x14ac:dyDescent="0.2"/>
    <row r="654" s="27" customFormat="1" ht="12.75" customHeight="1" x14ac:dyDescent="0.2"/>
    <row r="655" s="27" customFormat="1" ht="12.75" customHeight="1" x14ac:dyDescent="0.2"/>
    <row r="656" s="27" customFormat="1" ht="12.75" customHeight="1" x14ac:dyDescent="0.2"/>
    <row r="657" s="27" customFormat="1" ht="12.75" customHeight="1" x14ac:dyDescent="0.2"/>
    <row r="658" s="27" customFormat="1" ht="12.75" customHeight="1" x14ac:dyDescent="0.2"/>
    <row r="659" s="27" customFormat="1" ht="12.75" customHeight="1" x14ac:dyDescent="0.2"/>
    <row r="660" s="27" customFormat="1" ht="12.75" customHeight="1" x14ac:dyDescent="0.2"/>
    <row r="661" s="27" customFormat="1" ht="12.75" customHeight="1" x14ac:dyDescent="0.2"/>
    <row r="662" s="27" customFormat="1" ht="12.75" customHeight="1" x14ac:dyDescent="0.2"/>
    <row r="663" s="27" customFormat="1" ht="12.75" customHeight="1" x14ac:dyDescent="0.2"/>
    <row r="664" s="27" customFormat="1" ht="12.75" customHeight="1" x14ac:dyDescent="0.2"/>
    <row r="665" s="27" customFormat="1" ht="12.75" customHeight="1" x14ac:dyDescent="0.2"/>
    <row r="666" s="27" customFormat="1" ht="12.75" customHeight="1" x14ac:dyDescent="0.2"/>
    <row r="667" s="27" customFormat="1" ht="12.75" customHeight="1" x14ac:dyDescent="0.2"/>
    <row r="668" s="27" customFormat="1" ht="12.75" customHeight="1" x14ac:dyDescent="0.2"/>
    <row r="669" s="27" customFormat="1" ht="12.75" customHeight="1" x14ac:dyDescent="0.2"/>
    <row r="670" s="27" customFormat="1" ht="12.75" customHeight="1" x14ac:dyDescent="0.2"/>
    <row r="671" s="27" customFormat="1" ht="12.75" customHeight="1" x14ac:dyDescent="0.2"/>
    <row r="672" s="27" customFormat="1" ht="12.75" customHeight="1" x14ac:dyDescent="0.2"/>
    <row r="673" s="27" customFormat="1" ht="12.75" customHeight="1" x14ac:dyDescent="0.2"/>
    <row r="674" s="27" customFormat="1" ht="12.75" customHeight="1" x14ac:dyDescent="0.2"/>
    <row r="675" s="27" customFormat="1" ht="12.75" customHeight="1" x14ac:dyDescent="0.2"/>
    <row r="676" s="27" customFormat="1" ht="12.75" customHeight="1" x14ac:dyDescent="0.2"/>
    <row r="677" s="27" customFormat="1" ht="12.75" customHeight="1" x14ac:dyDescent="0.2"/>
    <row r="678" s="27" customFormat="1" ht="12.75" customHeight="1" x14ac:dyDescent="0.2"/>
    <row r="679" s="27" customFormat="1" ht="12.75" customHeight="1" x14ac:dyDescent="0.2"/>
    <row r="680" s="27" customFormat="1" ht="12.75" customHeight="1" x14ac:dyDescent="0.2"/>
    <row r="681" s="27" customFormat="1" ht="12.75" customHeight="1" x14ac:dyDescent="0.2"/>
    <row r="682" s="27" customFormat="1" ht="12.75" customHeight="1" x14ac:dyDescent="0.2"/>
    <row r="683" s="27" customFormat="1" ht="12.75" customHeight="1" x14ac:dyDescent="0.2"/>
    <row r="684" s="27" customFormat="1" ht="12.75" customHeight="1" x14ac:dyDescent="0.2"/>
    <row r="685" s="27" customFormat="1" ht="12.75" customHeight="1" x14ac:dyDescent="0.2"/>
    <row r="686" s="27" customFormat="1" ht="12.75" customHeight="1" x14ac:dyDescent="0.2"/>
    <row r="687" s="27" customFormat="1" ht="12.75" customHeight="1" x14ac:dyDescent="0.2"/>
    <row r="688" s="27" customFormat="1" ht="12.75" customHeight="1" x14ac:dyDescent="0.2"/>
    <row r="689" s="27" customFormat="1" ht="12.75" customHeight="1" x14ac:dyDescent="0.2"/>
    <row r="690" s="27" customFormat="1" ht="12.75" customHeight="1" x14ac:dyDescent="0.2"/>
    <row r="691" s="27" customFormat="1" ht="12.75" customHeight="1" x14ac:dyDescent="0.2"/>
    <row r="692" s="27" customFormat="1" ht="12.75" customHeight="1" x14ac:dyDescent="0.2"/>
    <row r="693" s="27" customFormat="1" ht="12.75" customHeight="1" x14ac:dyDescent="0.2"/>
    <row r="694" s="27" customFormat="1" ht="12.75" customHeight="1" x14ac:dyDescent="0.2"/>
    <row r="695" s="27" customFormat="1" ht="12.75" customHeight="1" x14ac:dyDescent="0.2"/>
    <row r="696" s="27" customFormat="1" ht="12.75" customHeight="1" x14ac:dyDescent="0.2"/>
    <row r="697" s="27" customFormat="1" ht="12.75" customHeight="1" x14ac:dyDescent="0.2"/>
    <row r="698" s="27" customFormat="1" ht="12.75" customHeight="1" x14ac:dyDescent="0.2"/>
    <row r="699" s="27" customFormat="1" ht="12.75" customHeight="1" x14ac:dyDescent="0.2"/>
    <row r="700" s="27" customFormat="1" ht="12.75" customHeight="1" x14ac:dyDescent="0.2"/>
    <row r="701" s="27" customFormat="1" ht="12.75" customHeight="1" x14ac:dyDescent="0.2"/>
    <row r="702" s="27" customFormat="1" ht="12.75" customHeight="1" x14ac:dyDescent="0.2"/>
    <row r="703" s="27" customFormat="1" ht="12.75" customHeight="1" x14ac:dyDescent="0.2"/>
    <row r="704" s="27" customFormat="1" ht="12.75" customHeight="1" x14ac:dyDescent="0.2"/>
    <row r="705" s="27" customFormat="1" ht="12.75" customHeight="1" x14ac:dyDescent="0.2"/>
    <row r="706" s="27" customFormat="1" ht="12.75" customHeight="1" x14ac:dyDescent="0.2"/>
    <row r="707" s="27" customFormat="1" ht="12.75" customHeight="1" x14ac:dyDescent="0.2"/>
    <row r="708" s="27" customFormat="1" ht="12.75" customHeight="1" x14ac:dyDescent="0.2"/>
    <row r="709" s="27" customFormat="1" ht="12.75" customHeight="1" x14ac:dyDescent="0.2"/>
    <row r="710" s="27" customFormat="1" ht="12.75" customHeight="1" x14ac:dyDescent="0.2"/>
    <row r="711" s="27" customFormat="1" ht="12.75" customHeight="1" x14ac:dyDescent="0.2"/>
    <row r="712" s="27" customFormat="1" ht="12.75" customHeight="1" x14ac:dyDescent="0.2"/>
    <row r="713" s="27" customFormat="1" ht="12.75" customHeight="1" x14ac:dyDescent="0.2"/>
    <row r="714" s="27" customFormat="1" ht="12.75" customHeight="1" x14ac:dyDescent="0.2"/>
    <row r="715" s="27" customFormat="1" ht="12.75" customHeight="1" x14ac:dyDescent="0.2"/>
    <row r="716" s="27" customFormat="1" ht="12.75" customHeight="1" x14ac:dyDescent="0.2"/>
    <row r="717" s="27" customFormat="1" ht="12.75" customHeight="1" x14ac:dyDescent="0.2"/>
    <row r="718" s="27" customFormat="1" ht="12.75" customHeight="1" x14ac:dyDescent="0.2"/>
    <row r="719" s="27" customFormat="1" ht="12.75" customHeight="1" x14ac:dyDescent="0.2"/>
    <row r="720" s="27" customFormat="1" ht="12.75" customHeight="1" x14ac:dyDescent="0.2"/>
    <row r="721" s="27" customFormat="1" ht="12.75" customHeight="1" x14ac:dyDescent="0.2"/>
    <row r="722" s="27" customFormat="1" ht="12.75" customHeight="1" x14ac:dyDescent="0.2"/>
    <row r="723" s="27" customFormat="1" ht="12.75" customHeight="1" x14ac:dyDescent="0.2"/>
    <row r="724" s="27" customFormat="1" ht="12.75" customHeight="1" x14ac:dyDescent="0.2"/>
    <row r="725" s="27" customFormat="1" ht="12.75" customHeight="1" x14ac:dyDescent="0.2"/>
    <row r="726" s="27" customFormat="1" ht="12.75" customHeight="1" x14ac:dyDescent="0.2"/>
    <row r="727" s="27" customFormat="1" ht="12.75" customHeight="1" x14ac:dyDescent="0.2"/>
    <row r="728" s="27" customFormat="1" ht="12.75" customHeight="1" x14ac:dyDescent="0.2"/>
    <row r="729" s="27" customFormat="1" ht="12.75" customHeight="1" x14ac:dyDescent="0.2"/>
    <row r="730" s="27" customFormat="1" ht="12.75" customHeight="1" x14ac:dyDescent="0.2"/>
    <row r="731" s="27" customFormat="1" ht="12.75" customHeight="1" x14ac:dyDescent="0.2"/>
    <row r="732" s="27" customFormat="1" ht="12.75" customHeight="1" x14ac:dyDescent="0.2"/>
    <row r="733" s="27" customFormat="1" ht="12.75" customHeight="1" x14ac:dyDescent="0.2"/>
    <row r="734" s="27" customFormat="1" ht="12.75" customHeight="1" x14ac:dyDescent="0.2"/>
    <row r="735" s="27" customFormat="1" ht="12.75" customHeight="1" x14ac:dyDescent="0.2"/>
    <row r="736" s="27" customFormat="1" ht="12.75" customHeight="1" x14ac:dyDescent="0.2"/>
    <row r="737" s="27" customFormat="1" ht="12.75" customHeight="1" x14ac:dyDescent="0.2"/>
    <row r="738" s="27" customFormat="1" ht="12.75" customHeight="1" x14ac:dyDescent="0.2"/>
    <row r="739" s="27" customFormat="1" ht="12.75" customHeight="1" x14ac:dyDescent="0.2"/>
    <row r="740" s="27" customFormat="1" ht="12.75" customHeight="1" x14ac:dyDescent="0.2"/>
    <row r="741" s="27" customFormat="1" ht="12.75" customHeight="1" x14ac:dyDescent="0.2"/>
    <row r="742" s="27" customFormat="1" ht="12.75" customHeight="1" x14ac:dyDescent="0.2"/>
    <row r="743" s="27" customFormat="1" ht="12.75" customHeight="1" x14ac:dyDescent="0.2"/>
    <row r="744" s="27" customFormat="1" ht="12.75" customHeight="1" x14ac:dyDescent="0.2"/>
    <row r="745" s="27" customFormat="1" ht="12.75" customHeight="1" x14ac:dyDescent="0.2"/>
    <row r="746" s="27" customFormat="1" ht="12.75" customHeight="1" x14ac:dyDescent="0.2"/>
    <row r="747" s="27" customFormat="1" ht="12.75" customHeight="1" x14ac:dyDescent="0.2"/>
    <row r="748" s="27" customFormat="1" ht="12.75" customHeight="1" x14ac:dyDescent="0.2"/>
    <row r="749" s="27" customFormat="1" ht="12.75" customHeight="1" x14ac:dyDescent="0.2"/>
    <row r="750" s="27" customFormat="1" ht="12.75" customHeight="1" x14ac:dyDescent="0.2"/>
    <row r="751" s="27" customFormat="1" ht="12.75" customHeight="1" x14ac:dyDescent="0.2"/>
    <row r="752" s="27" customFormat="1" ht="12.75" customHeight="1" x14ac:dyDescent="0.2"/>
    <row r="753" s="27" customFormat="1" ht="12.75" customHeight="1" x14ac:dyDescent="0.2"/>
    <row r="754" s="27" customFormat="1" ht="12.75" customHeight="1" x14ac:dyDescent="0.2"/>
    <row r="755" s="27" customFormat="1" ht="12.75" customHeight="1" x14ac:dyDescent="0.2"/>
    <row r="756" s="27" customFormat="1" ht="12.75" customHeight="1" x14ac:dyDescent="0.2"/>
    <row r="757" s="27" customFormat="1" ht="12.75" customHeight="1" x14ac:dyDescent="0.2"/>
    <row r="758" s="27" customFormat="1" ht="12.75" customHeight="1" x14ac:dyDescent="0.2"/>
    <row r="759" s="27" customFormat="1" ht="12.75" customHeight="1" x14ac:dyDescent="0.2"/>
    <row r="760" s="27" customFormat="1" ht="12.75" customHeight="1" x14ac:dyDescent="0.2"/>
    <row r="761" s="27" customFormat="1" ht="12.75" customHeight="1" x14ac:dyDescent="0.2"/>
    <row r="762" s="27" customFormat="1" ht="12.75" customHeight="1" x14ac:dyDescent="0.2"/>
    <row r="763" s="27" customFormat="1" ht="12.75" customHeight="1" x14ac:dyDescent="0.2"/>
    <row r="764" s="27" customFormat="1" ht="12.75" customHeight="1" x14ac:dyDescent="0.2"/>
    <row r="765" s="27" customFormat="1" ht="12.75" customHeight="1" x14ac:dyDescent="0.2"/>
    <row r="766" s="27" customFormat="1" ht="12.75" customHeight="1" x14ac:dyDescent="0.2"/>
    <row r="767" s="27" customFormat="1" ht="12.75" customHeight="1" x14ac:dyDescent="0.2"/>
    <row r="768" s="27" customFormat="1" ht="12.75" customHeight="1" x14ac:dyDescent="0.2"/>
    <row r="769" s="27" customFormat="1" ht="12.75" customHeight="1" x14ac:dyDescent="0.2"/>
    <row r="770" s="27" customFormat="1" ht="12.75" customHeight="1" x14ac:dyDescent="0.2"/>
    <row r="771" s="27" customFormat="1" ht="12.75" customHeight="1" x14ac:dyDescent="0.2"/>
    <row r="772" s="27" customFormat="1" ht="12.75" customHeight="1" x14ac:dyDescent="0.2"/>
    <row r="773" s="27" customFormat="1" ht="12.75" customHeight="1" x14ac:dyDescent="0.2"/>
    <row r="774" s="27" customFormat="1" ht="12.75" customHeight="1" x14ac:dyDescent="0.2"/>
    <row r="775" s="27" customFormat="1" ht="12.75" customHeight="1" x14ac:dyDescent="0.2"/>
    <row r="776" s="27" customFormat="1" ht="12.75" customHeight="1" x14ac:dyDescent="0.2"/>
    <row r="777" s="27" customFormat="1" ht="12.75" customHeight="1" x14ac:dyDescent="0.2"/>
    <row r="778" s="27" customFormat="1" ht="12.75" customHeight="1" x14ac:dyDescent="0.2"/>
    <row r="779" s="27" customFormat="1" ht="12.75" customHeight="1" x14ac:dyDescent="0.2"/>
    <row r="780" s="27" customFormat="1" ht="12.75" customHeight="1" x14ac:dyDescent="0.2"/>
    <row r="781" s="27" customFormat="1" ht="12.75" customHeight="1" x14ac:dyDescent="0.2"/>
    <row r="782" s="27" customFormat="1" ht="12.75" customHeight="1" x14ac:dyDescent="0.2"/>
    <row r="783" s="27" customFormat="1" ht="12.75" customHeight="1" x14ac:dyDescent="0.2"/>
    <row r="784" s="27" customFormat="1" ht="12.75" customHeight="1" x14ac:dyDescent="0.2"/>
    <row r="785" s="27" customFormat="1" ht="12.75" customHeight="1" x14ac:dyDescent="0.2"/>
    <row r="786" s="27" customFormat="1" ht="12.75" customHeight="1" x14ac:dyDescent="0.2"/>
    <row r="787" s="27" customFormat="1" ht="12.75" customHeight="1" x14ac:dyDescent="0.2"/>
    <row r="788" s="27" customFormat="1" ht="12.75" customHeight="1" x14ac:dyDescent="0.2"/>
    <row r="789" s="27" customFormat="1" ht="12.75" customHeight="1" x14ac:dyDescent="0.2"/>
    <row r="790" s="27" customFormat="1" ht="12.75" customHeight="1" x14ac:dyDescent="0.2"/>
    <row r="791" s="27" customFormat="1" ht="12.75" customHeight="1" x14ac:dyDescent="0.2"/>
    <row r="792" s="27" customFormat="1" ht="12.75" customHeight="1" x14ac:dyDescent="0.2"/>
    <row r="793" s="27" customFormat="1" ht="12.75" customHeight="1" x14ac:dyDescent="0.2"/>
    <row r="794" s="27" customFormat="1" ht="12.75" customHeight="1" x14ac:dyDescent="0.2"/>
    <row r="795" s="27" customFormat="1" ht="12.75" customHeight="1" x14ac:dyDescent="0.2"/>
    <row r="796" s="27" customFormat="1" ht="12.75" customHeight="1" x14ac:dyDescent="0.2"/>
    <row r="797" s="27" customFormat="1" ht="12.75" customHeight="1" x14ac:dyDescent="0.2"/>
    <row r="798" s="27" customFormat="1" ht="12.75" customHeight="1" x14ac:dyDescent="0.2"/>
    <row r="799" s="27" customFormat="1" ht="12.75" customHeight="1" x14ac:dyDescent="0.2"/>
    <row r="800" s="27" customFormat="1" ht="12.75" customHeight="1" x14ac:dyDescent="0.2"/>
    <row r="801" s="27" customFormat="1" ht="12.75" customHeight="1" x14ac:dyDescent="0.2"/>
    <row r="802" s="27" customFormat="1" ht="12.75" customHeight="1" x14ac:dyDescent="0.2"/>
    <row r="803" s="27" customFormat="1" ht="12.75" customHeight="1" x14ac:dyDescent="0.2"/>
    <row r="804" s="27" customFormat="1" ht="12.75" customHeight="1" x14ac:dyDescent="0.2"/>
    <row r="805" s="27" customFormat="1" ht="12.75" customHeight="1" x14ac:dyDescent="0.2"/>
    <row r="806" s="27" customFormat="1" ht="12.75" customHeight="1" x14ac:dyDescent="0.2"/>
    <row r="807" s="27" customFormat="1" ht="12.75" customHeight="1" x14ac:dyDescent="0.2"/>
    <row r="808" s="27" customFormat="1" ht="12.75" customHeight="1" x14ac:dyDescent="0.2"/>
    <row r="809" s="27" customFormat="1" ht="12.75" customHeight="1" x14ac:dyDescent="0.2"/>
    <row r="810" s="27" customFormat="1" ht="12.75" customHeight="1" x14ac:dyDescent="0.2"/>
    <row r="811" s="27" customFormat="1" ht="12.75" customHeight="1" x14ac:dyDescent="0.2"/>
    <row r="812" s="27" customFormat="1" ht="12.75" customHeight="1" x14ac:dyDescent="0.2"/>
    <row r="813" s="27" customFormat="1" ht="12.75" customHeight="1" x14ac:dyDescent="0.2"/>
    <row r="814" s="27" customFormat="1" ht="12.75" customHeight="1" x14ac:dyDescent="0.2"/>
    <row r="815" s="27" customFormat="1" ht="12.75" customHeight="1" x14ac:dyDescent="0.2"/>
    <row r="816" s="27" customFormat="1" ht="12.75" customHeight="1" x14ac:dyDescent="0.2"/>
    <row r="817" s="27" customFormat="1" ht="12.75" customHeight="1" x14ac:dyDescent="0.2"/>
    <row r="818" s="27" customFormat="1" ht="12.75" customHeight="1" x14ac:dyDescent="0.2"/>
    <row r="819" s="27" customFormat="1" ht="12.75" customHeight="1" x14ac:dyDescent="0.2"/>
    <row r="820" s="27" customFormat="1" ht="12.75" customHeight="1" x14ac:dyDescent="0.2"/>
    <row r="821" s="27" customFormat="1" ht="12.75" customHeight="1" x14ac:dyDescent="0.2"/>
    <row r="822" s="27" customFormat="1" ht="12.75" customHeight="1" x14ac:dyDescent="0.2"/>
    <row r="823" s="27" customFormat="1" ht="12.75" customHeight="1" x14ac:dyDescent="0.2"/>
    <row r="824" s="27" customFormat="1" ht="12.75" customHeight="1" x14ac:dyDescent="0.2"/>
    <row r="825" s="27" customFormat="1" ht="12.75" customHeight="1" x14ac:dyDescent="0.2"/>
    <row r="826" s="27" customFormat="1" ht="12.75" customHeight="1" x14ac:dyDescent="0.2"/>
    <row r="827" s="27" customFormat="1" ht="12.75" customHeight="1" x14ac:dyDescent="0.2"/>
    <row r="828" s="27" customFormat="1" ht="12.75" customHeight="1" x14ac:dyDescent="0.2"/>
    <row r="829" s="27" customFormat="1" ht="12.75" customHeight="1" x14ac:dyDescent="0.2"/>
    <row r="830" s="27" customFormat="1" ht="12.75" customHeight="1" x14ac:dyDescent="0.2"/>
    <row r="831" s="27" customFormat="1" ht="12.75" customHeight="1" x14ac:dyDescent="0.2"/>
    <row r="832" s="27" customFormat="1" ht="12.75" customHeight="1" x14ac:dyDescent="0.2"/>
    <row r="833" s="27" customFormat="1" ht="12.75" customHeight="1" x14ac:dyDescent="0.2"/>
    <row r="834" s="27" customFormat="1" ht="12.75" customHeight="1" x14ac:dyDescent="0.2"/>
    <row r="835" s="27" customFormat="1" ht="12.75" customHeight="1" x14ac:dyDescent="0.2"/>
    <row r="836" s="27" customFormat="1" ht="12.75" customHeight="1" x14ac:dyDescent="0.2"/>
    <row r="837" s="27" customFormat="1" ht="12.75" customHeight="1" x14ac:dyDescent="0.2"/>
    <row r="838" s="27" customFormat="1" ht="12.75" customHeight="1" x14ac:dyDescent="0.2"/>
    <row r="839" s="27" customFormat="1" ht="12.75" customHeight="1" x14ac:dyDescent="0.2"/>
    <row r="840" s="27" customFormat="1" ht="12.75" customHeight="1" x14ac:dyDescent="0.2"/>
    <row r="841" s="27" customFormat="1" ht="12.75" customHeight="1" x14ac:dyDescent="0.2"/>
    <row r="842" s="27" customFormat="1" ht="12.75" customHeight="1" x14ac:dyDescent="0.2"/>
    <row r="843" s="27" customFormat="1" ht="12.75" customHeight="1" x14ac:dyDescent="0.2"/>
    <row r="844" s="27" customFormat="1" ht="12.75" customHeight="1" x14ac:dyDescent="0.2"/>
    <row r="845" s="27" customFormat="1" ht="12.75" customHeight="1" x14ac:dyDescent="0.2"/>
    <row r="846" s="27" customFormat="1" ht="12.75" customHeight="1" x14ac:dyDescent="0.2"/>
    <row r="847" s="27" customFormat="1" ht="12.75" customHeight="1" x14ac:dyDescent="0.2"/>
    <row r="848" s="27" customFormat="1" ht="12.75" customHeight="1" x14ac:dyDescent="0.2"/>
    <row r="849" s="27" customFormat="1" ht="12.75" customHeight="1" x14ac:dyDescent="0.2"/>
    <row r="850" s="27" customFormat="1" ht="12.75" customHeight="1" x14ac:dyDescent="0.2"/>
    <row r="851" s="27" customFormat="1" ht="12.75" customHeight="1" x14ac:dyDescent="0.2"/>
    <row r="852" s="27" customFormat="1" ht="12.75" customHeight="1" x14ac:dyDescent="0.2"/>
    <row r="853" s="27" customFormat="1" ht="12.75" customHeight="1" x14ac:dyDescent="0.2"/>
    <row r="854" s="27" customFormat="1" ht="12.75" customHeight="1" x14ac:dyDescent="0.2"/>
    <row r="855" s="27" customFormat="1" ht="12.75" customHeight="1" x14ac:dyDescent="0.2"/>
    <row r="856" s="27" customFormat="1" ht="12.75" customHeight="1" x14ac:dyDescent="0.2"/>
    <row r="857" s="27" customFormat="1" ht="12.75" customHeight="1" x14ac:dyDescent="0.2"/>
    <row r="858" s="27" customFormat="1" ht="12.75" customHeight="1" x14ac:dyDescent="0.2"/>
    <row r="859" s="27" customFormat="1" ht="12.75" customHeight="1" x14ac:dyDescent="0.2"/>
    <row r="860" s="27" customFormat="1" ht="12.75" customHeight="1" x14ac:dyDescent="0.2"/>
    <row r="861" s="27" customFormat="1" ht="12.75" customHeight="1" x14ac:dyDescent="0.2"/>
    <row r="862" s="27" customFormat="1" ht="12.75" customHeight="1" x14ac:dyDescent="0.2"/>
    <row r="863" s="27" customFormat="1" ht="12.75" customHeight="1" x14ac:dyDescent="0.2"/>
    <row r="864" s="27" customFormat="1" ht="12.75" customHeight="1" x14ac:dyDescent="0.2"/>
    <row r="865" s="27" customFormat="1" ht="12.75" customHeight="1" x14ac:dyDescent="0.2"/>
    <row r="866" s="27" customFormat="1" ht="12.75" customHeight="1" x14ac:dyDescent="0.2"/>
    <row r="867" s="27" customFormat="1" ht="12.75" customHeight="1" x14ac:dyDescent="0.2"/>
    <row r="868" s="27" customFormat="1" ht="12.75" customHeight="1" x14ac:dyDescent="0.2"/>
    <row r="869" s="27" customFormat="1" ht="12.75" customHeight="1" x14ac:dyDescent="0.2"/>
    <row r="870" s="27" customFormat="1" ht="12.75" customHeight="1" x14ac:dyDescent="0.2"/>
    <row r="871" s="27" customFormat="1" ht="12.75" customHeight="1" x14ac:dyDescent="0.2"/>
    <row r="872" s="27" customFormat="1" ht="12.75" customHeight="1" x14ac:dyDescent="0.2"/>
    <row r="873" s="27" customFormat="1" ht="12.75" customHeight="1" x14ac:dyDescent="0.2"/>
    <row r="874" s="27" customFormat="1" ht="12.75" customHeight="1" x14ac:dyDescent="0.2"/>
    <row r="875" s="27" customFormat="1" ht="12.75" customHeight="1" x14ac:dyDescent="0.2"/>
    <row r="876" s="27" customFormat="1" ht="12.75" customHeight="1" x14ac:dyDescent="0.2"/>
    <row r="877" s="27" customFormat="1" ht="12.75" customHeight="1" x14ac:dyDescent="0.2"/>
    <row r="878" s="27" customFormat="1" ht="12.75" customHeight="1" x14ac:dyDescent="0.2"/>
    <row r="879" s="27" customFormat="1" ht="12.75" customHeight="1" x14ac:dyDescent="0.2"/>
    <row r="880" s="27" customFormat="1" ht="12.75" customHeight="1" x14ac:dyDescent="0.2"/>
    <row r="881" s="27" customFormat="1" ht="12.75" customHeight="1" x14ac:dyDescent="0.2"/>
    <row r="882" s="27" customFormat="1" ht="12.75" customHeight="1" x14ac:dyDescent="0.2"/>
    <row r="883" s="27" customFormat="1" ht="12.75" customHeight="1" x14ac:dyDescent="0.2"/>
    <row r="884" s="27" customFormat="1" ht="12.75" customHeight="1" x14ac:dyDescent="0.2"/>
    <row r="885" s="27" customFormat="1" ht="12.75" customHeight="1" x14ac:dyDescent="0.2"/>
    <row r="886" s="27" customFormat="1" ht="12.75" customHeight="1" x14ac:dyDescent="0.2"/>
    <row r="887" s="27" customFormat="1" ht="12.75" customHeight="1" x14ac:dyDescent="0.2"/>
    <row r="888" s="27" customFormat="1" ht="12.75" customHeight="1" x14ac:dyDescent="0.2"/>
    <row r="889" s="27" customFormat="1" ht="12.75" customHeight="1" x14ac:dyDescent="0.2"/>
    <row r="890" s="27" customFormat="1" ht="12.75" customHeight="1" x14ac:dyDescent="0.2"/>
    <row r="891" s="27" customFormat="1" ht="12.75" customHeight="1" x14ac:dyDescent="0.2"/>
    <row r="892" s="27" customFormat="1" ht="12.75" customHeight="1" x14ac:dyDescent="0.2"/>
    <row r="893" s="27" customFormat="1" ht="12.75" customHeight="1" x14ac:dyDescent="0.2"/>
    <row r="894" s="27" customFormat="1" ht="12.75" customHeight="1" x14ac:dyDescent="0.2"/>
    <row r="895" s="27" customFormat="1" ht="12.75" customHeight="1" x14ac:dyDescent="0.2"/>
    <row r="896" s="27" customFormat="1" ht="12.75" customHeight="1" x14ac:dyDescent="0.2"/>
    <row r="897" s="27" customFormat="1" ht="12.75" customHeight="1" x14ac:dyDescent="0.2"/>
    <row r="898" s="27" customFormat="1" ht="12.75" customHeight="1" x14ac:dyDescent="0.2"/>
    <row r="899" s="27" customFormat="1" ht="12.75" customHeight="1" x14ac:dyDescent="0.2"/>
    <row r="900" s="27" customFormat="1" ht="12.75" customHeight="1" x14ac:dyDescent="0.2"/>
    <row r="901" s="27" customFormat="1" ht="12.75" customHeight="1" x14ac:dyDescent="0.2"/>
    <row r="902" s="27" customFormat="1" ht="12.75" customHeight="1" x14ac:dyDescent="0.2"/>
    <row r="903" s="27" customFormat="1" ht="12.75" customHeight="1" x14ac:dyDescent="0.2"/>
    <row r="904" s="27" customFormat="1" ht="12.75" customHeight="1" x14ac:dyDescent="0.2"/>
    <row r="905" s="27" customFormat="1" ht="12.75" customHeight="1" x14ac:dyDescent="0.2"/>
    <row r="906" s="27" customFormat="1" ht="12.75" customHeight="1" x14ac:dyDescent="0.2"/>
    <row r="907" s="27" customFormat="1" ht="12.75" customHeight="1" x14ac:dyDescent="0.2"/>
    <row r="908" s="27" customFormat="1" ht="12.75" customHeight="1" x14ac:dyDescent="0.2"/>
    <row r="909" s="27" customFormat="1" ht="12.75" customHeight="1" x14ac:dyDescent="0.2"/>
    <row r="910" s="27" customFormat="1" ht="12.75" customHeight="1" x14ac:dyDescent="0.2"/>
    <row r="911" s="27" customFormat="1" ht="12.75" customHeight="1" x14ac:dyDescent="0.2"/>
    <row r="912" s="27" customFormat="1" ht="12.75" customHeight="1" x14ac:dyDescent="0.2"/>
    <row r="913" s="27" customFormat="1" ht="12.75" customHeight="1" x14ac:dyDescent="0.2"/>
    <row r="914" s="27" customFormat="1" ht="12.75" customHeight="1" x14ac:dyDescent="0.2"/>
    <row r="915" s="27" customFormat="1" ht="12.75" customHeight="1" x14ac:dyDescent="0.2"/>
    <row r="916" s="27" customFormat="1" ht="12.75" customHeight="1" x14ac:dyDescent="0.2"/>
    <row r="917" s="27" customFormat="1" ht="12.75" customHeight="1" x14ac:dyDescent="0.2"/>
    <row r="918" s="27" customFormat="1" ht="12.75" customHeight="1" x14ac:dyDescent="0.2"/>
    <row r="919" s="27" customFormat="1" ht="12.75" customHeight="1" x14ac:dyDescent="0.2"/>
    <row r="920" s="27" customFormat="1" ht="12.75" customHeight="1" x14ac:dyDescent="0.2"/>
    <row r="921" s="27" customFormat="1" ht="12.75" customHeight="1" x14ac:dyDescent="0.2"/>
    <row r="922" s="27" customFormat="1" ht="12.75" customHeight="1" x14ac:dyDescent="0.2"/>
    <row r="923" s="27" customFormat="1" ht="12.75" customHeight="1" x14ac:dyDescent="0.2"/>
    <row r="924" s="27" customFormat="1" ht="12.75" customHeight="1" x14ac:dyDescent="0.2"/>
    <row r="925" s="27" customFormat="1" ht="12.75" customHeight="1" x14ac:dyDescent="0.2"/>
    <row r="926" s="27" customFormat="1" ht="12.75" customHeight="1" x14ac:dyDescent="0.2"/>
    <row r="927" s="27" customFormat="1" ht="12.75" customHeight="1" x14ac:dyDescent="0.2"/>
    <row r="928" s="27" customFormat="1" ht="12.75" customHeight="1" x14ac:dyDescent="0.2"/>
    <row r="929" s="27" customFormat="1" ht="12.75" customHeight="1" x14ac:dyDescent="0.2"/>
    <row r="930" s="27" customFormat="1" ht="12.75" customHeight="1" x14ac:dyDescent="0.2"/>
    <row r="931" s="27" customFormat="1" ht="12.75" customHeight="1" x14ac:dyDescent="0.2"/>
    <row r="932" s="27" customFormat="1" ht="12.75" customHeight="1" x14ac:dyDescent="0.2"/>
    <row r="933" s="27" customFormat="1" ht="12.75" customHeight="1" x14ac:dyDescent="0.2"/>
    <row r="934" s="27" customFormat="1" ht="12.75" customHeight="1" x14ac:dyDescent="0.2"/>
    <row r="935" s="27" customFormat="1" ht="12.75" customHeight="1" x14ac:dyDescent="0.2"/>
    <row r="936" s="27" customFormat="1" ht="12.75" customHeight="1" x14ac:dyDescent="0.2"/>
    <row r="937" s="27" customFormat="1" ht="12.75" customHeight="1" x14ac:dyDescent="0.2"/>
    <row r="938" s="27" customFormat="1" ht="12.75" customHeight="1" x14ac:dyDescent="0.2"/>
    <row r="939" s="27" customFormat="1" ht="12.75" customHeight="1" x14ac:dyDescent="0.2"/>
    <row r="940" s="27" customFormat="1" ht="12.75" customHeight="1" x14ac:dyDescent="0.2"/>
    <row r="941" s="27" customFormat="1" ht="12.75" customHeight="1" x14ac:dyDescent="0.2"/>
    <row r="942" s="27" customFormat="1" ht="12.75" customHeight="1" x14ac:dyDescent="0.2"/>
    <row r="943" s="27" customFormat="1" ht="12.75" customHeight="1" x14ac:dyDescent="0.2"/>
    <row r="944" s="27" customFormat="1" ht="12.75" customHeight="1" x14ac:dyDescent="0.2"/>
    <row r="945" s="27" customFormat="1" ht="12.75" customHeight="1" x14ac:dyDescent="0.2"/>
    <row r="946" s="27" customFormat="1" ht="12.75" customHeight="1" x14ac:dyDescent="0.2"/>
    <row r="947" s="27" customFormat="1" ht="12.75" customHeight="1" x14ac:dyDescent="0.2"/>
    <row r="948" s="27" customFormat="1" ht="12.75" customHeight="1" x14ac:dyDescent="0.2"/>
    <row r="949" s="27" customFormat="1" ht="12.75" customHeight="1" x14ac:dyDescent="0.2"/>
    <row r="950" s="27" customFormat="1" ht="12.75" customHeight="1" x14ac:dyDescent="0.2"/>
    <row r="951" s="27" customFormat="1" ht="12.75" customHeight="1" x14ac:dyDescent="0.2"/>
    <row r="952" s="27" customFormat="1" ht="12.75" customHeight="1" x14ac:dyDescent="0.2"/>
    <row r="953" s="27" customFormat="1" ht="12.75" customHeight="1" x14ac:dyDescent="0.2"/>
    <row r="954" s="27" customFormat="1" ht="12.75" customHeight="1" x14ac:dyDescent="0.2"/>
    <row r="955" s="27" customFormat="1" ht="12.75" customHeight="1" x14ac:dyDescent="0.2"/>
    <row r="956" s="27" customFormat="1" ht="12.75" customHeight="1" x14ac:dyDescent="0.2"/>
    <row r="957" s="27" customFormat="1" ht="12.75" customHeight="1" x14ac:dyDescent="0.2"/>
    <row r="958" s="27" customFormat="1" ht="12.75" customHeight="1" x14ac:dyDescent="0.2"/>
    <row r="959" s="27" customFormat="1" ht="12.75" customHeight="1" x14ac:dyDescent="0.2"/>
    <row r="960" s="27" customFormat="1" ht="12.75" customHeight="1" x14ac:dyDescent="0.2"/>
    <row r="961" s="27" customFormat="1" ht="12.75" customHeight="1" x14ac:dyDescent="0.2"/>
    <row r="962" s="27" customFormat="1" ht="12.75" customHeight="1" x14ac:dyDescent="0.2"/>
    <row r="963" s="27" customFormat="1" ht="12.75" customHeight="1" x14ac:dyDescent="0.2"/>
    <row r="964" s="27" customFormat="1" ht="12.75" customHeight="1" x14ac:dyDescent="0.2"/>
    <row r="965" s="27" customFormat="1" ht="12.75" customHeight="1" x14ac:dyDescent="0.2"/>
    <row r="966" s="27" customFormat="1" ht="12.75" customHeight="1" x14ac:dyDescent="0.2"/>
    <row r="967" s="27" customFormat="1" ht="12.75" customHeight="1" x14ac:dyDescent="0.2"/>
    <row r="968" s="27" customFormat="1" ht="12.75" customHeight="1" x14ac:dyDescent="0.2"/>
    <row r="969" s="27" customFormat="1" ht="12.75" customHeight="1" x14ac:dyDescent="0.2"/>
    <row r="970" s="27" customFormat="1" ht="12.75" customHeight="1" x14ac:dyDescent="0.2"/>
    <row r="971" s="27" customFormat="1" ht="12.75" customHeight="1" x14ac:dyDescent="0.2"/>
    <row r="972" s="27" customFormat="1" ht="12.75" customHeight="1" x14ac:dyDescent="0.2"/>
    <row r="973" s="27" customFormat="1" ht="12.75" customHeight="1" x14ac:dyDescent="0.2"/>
    <row r="974" s="27" customFormat="1" ht="12.75" customHeight="1" x14ac:dyDescent="0.2"/>
    <row r="975" s="27" customFormat="1" ht="12.75" customHeight="1" x14ac:dyDescent="0.2"/>
    <row r="976" s="27" customFormat="1" ht="12.75" customHeight="1" x14ac:dyDescent="0.2"/>
    <row r="977" s="27" customFormat="1" ht="12.75" customHeight="1" x14ac:dyDescent="0.2"/>
    <row r="978" s="27" customFormat="1" ht="12.75" customHeight="1" x14ac:dyDescent="0.2"/>
    <row r="979" s="27" customFormat="1" ht="12.75" customHeight="1" x14ac:dyDescent="0.2"/>
    <row r="980" s="27" customFormat="1" ht="12.75" customHeight="1" x14ac:dyDescent="0.2"/>
    <row r="981" s="27" customFormat="1" ht="12.75" customHeight="1" x14ac:dyDescent="0.2"/>
    <row r="982" s="27" customFormat="1" ht="12.75" customHeight="1" x14ac:dyDescent="0.2"/>
    <row r="983" s="27" customFormat="1" ht="12.75" customHeight="1" x14ac:dyDescent="0.2"/>
    <row r="984" s="27" customFormat="1" ht="12.75" customHeight="1" x14ac:dyDescent="0.2"/>
    <row r="985" s="27" customFormat="1" ht="12.75" customHeight="1" x14ac:dyDescent="0.2"/>
    <row r="986" s="27" customFormat="1" ht="12.75" customHeight="1" x14ac:dyDescent="0.2"/>
    <row r="987" s="27" customFormat="1" ht="12.75" customHeight="1" x14ac:dyDescent="0.2"/>
    <row r="988" s="27" customFormat="1" ht="12.75" customHeight="1" x14ac:dyDescent="0.2"/>
    <row r="989" s="27" customFormat="1" ht="12.75" customHeight="1" x14ac:dyDescent="0.2"/>
    <row r="990" s="27" customFormat="1" ht="12.75" customHeight="1" x14ac:dyDescent="0.2"/>
    <row r="991" s="27" customFormat="1" ht="12.75" customHeight="1" x14ac:dyDescent="0.2"/>
    <row r="992" s="27" customFormat="1" ht="12.75" customHeight="1" x14ac:dyDescent="0.2"/>
    <row r="993" s="27" customFormat="1" ht="12.75" customHeight="1" x14ac:dyDescent="0.2"/>
    <row r="994" s="27" customFormat="1" ht="12.75" customHeight="1" x14ac:dyDescent="0.2"/>
    <row r="995" s="27" customFormat="1" ht="12.75" customHeight="1" x14ac:dyDescent="0.2"/>
    <row r="996" s="27" customFormat="1" ht="12.75" customHeight="1" x14ac:dyDescent="0.2"/>
    <row r="997" s="27" customFormat="1" ht="12.75" customHeight="1" x14ac:dyDescent="0.2"/>
    <row r="998" s="27" customFormat="1" ht="12.75" customHeight="1" x14ac:dyDescent="0.2"/>
    <row r="999" s="27" customFormat="1" ht="12.75" customHeight="1" x14ac:dyDescent="0.2"/>
    <row r="1000" s="27" customFormat="1" ht="12.75" customHeight="1" x14ac:dyDescent="0.2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4"/>
  <sheetViews>
    <sheetView workbookViewId="0"/>
  </sheetViews>
  <sheetFormatPr defaultRowHeight="12.75" x14ac:dyDescent="0.2"/>
  <cols>
    <col min="1" max="1" width="2.42578125" customWidth="1"/>
    <col min="2" max="2" width="34" customWidth="1"/>
    <col min="3" max="3" width="90" customWidth="1"/>
    <col min="4" max="4" width="10" customWidth="1"/>
  </cols>
  <sheetData>
    <row r="1" spans="1:4" ht="38.1" customHeight="1" x14ac:dyDescent="0.3">
      <c r="A1" s="47"/>
      <c r="B1" s="47"/>
      <c r="C1" s="47"/>
      <c r="D1" s="47"/>
    </row>
    <row r="2" spans="1:4" ht="38.1" customHeight="1" x14ac:dyDescent="0.2">
      <c r="A2" s="49" t="s">
        <v>461</v>
      </c>
      <c r="B2" s="49" t="s">
        <v>462</v>
      </c>
      <c r="C2" s="49"/>
      <c r="D2" s="49"/>
    </row>
    <row r="3" spans="1:4" ht="38.1" customHeight="1" x14ac:dyDescent="0.2">
      <c r="A3" s="49" t="s">
        <v>463</v>
      </c>
      <c r="B3" s="49"/>
      <c r="C3" s="49"/>
      <c r="D3" s="49"/>
    </row>
    <row r="4" spans="1:4" ht="38.1" customHeight="1" x14ac:dyDescent="0.2">
      <c r="A4" s="49" t="s">
        <v>464</v>
      </c>
      <c r="B4" s="49"/>
      <c r="C4" s="49"/>
      <c r="D4" s="49"/>
    </row>
    <row r="5" spans="1:4" ht="38.1" customHeight="1" x14ac:dyDescent="0.2">
      <c r="A5" s="49" t="s">
        <v>465</v>
      </c>
      <c r="B5" s="49"/>
      <c r="C5" s="49"/>
      <c r="D5" s="49"/>
    </row>
    <row r="6" spans="1:4" ht="38.1" customHeight="1" x14ac:dyDescent="0.2">
      <c r="A6" s="49" t="s">
        <v>466</v>
      </c>
      <c r="B6" s="49"/>
      <c r="C6" s="49"/>
      <c r="D6" s="49"/>
    </row>
    <row r="7" spans="1:4" ht="38.1" customHeight="1" x14ac:dyDescent="0.2">
      <c r="A7" s="49" t="s">
        <v>467</v>
      </c>
      <c r="B7" s="49"/>
      <c r="C7" s="49"/>
      <c r="D7" s="49"/>
    </row>
    <row r="8" spans="1:4" ht="38.1" customHeight="1" x14ac:dyDescent="0.2">
      <c r="A8" s="49" t="s">
        <v>468</v>
      </c>
      <c r="B8" s="49"/>
      <c r="C8" s="49"/>
      <c r="D8" s="49"/>
    </row>
    <row r="9" spans="1:4" ht="38.1" customHeight="1" x14ac:dyDescent="0.2">
      <c r="A9" s="49" t="s">
        <v>469</v>
      </c>
      <c r="B9" s="49"/>
      <c r="C9" s="49"/>
      <c r="D9" s="49"/>
    </row>
    <row r="10" spans="1:4" ht="38.1" customHeight="1" x14ac:dyDescent="0.2">
      <c r="A10" s="49" t="s">
        <v>470</v>
      </c>
      <c r="B10" s="49"/>
      <c r="C10" s="49"/>
      <c r="D10" s="49"/>
    </row>
    <row r="11" spans="1:4" ht="38.1" customHeight="1" x14ac:dyDescent="0.2">
      <c r="A11" s="49" t="s">
        <v>471</v>
      </c>
      <c r="B11" s="49"/>
      <c r="C11" s="49"/>
      <c r="D11" s="49"/>
    </row>
    <row r="12" spans="1:4" ht="38.1" customHeight="1" x14ac:dyDescent="0.2">
      <c r="A12" s="49"/>
      <c r="B12" s="49"/>
      <c r="C12" s="49"/>
      <c r="D12" s="49"/>
    </row>
    <row r="13" spans="1:4" ht="38.1" customHeight="1" x14ac:dyDescent="0.2">
      <c r="A13" s="49"/>
      <c r="B13" s="49"/>
      <c r="C13" s="49"/>
      <c r="D13" s="49"/>
    </row>
    <row r="14" spans="1:4" ht="38.1" customHeight="1" x14ac:dyDescent="0.2">
      <c r="A14" s="49"/>
      <c r="B14" s="49"/>
      <c r="C14" s="49"/>
      <c r="D14" s="4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0"/>
  <sheetViews>
    <sheetView workbookViewId="0"/>
  </sheetViews>
  <sheetFormatPr defaultRowHeight="12.75" x14ac:dyDescent="0.2"/>
  <cols>
    <col min="1" max="8" width="26" customWidth="1"/>
  </cols>
  <sheetData>
    <row r="1" spans="1:8" x14ac:dyDescent="0.2">
      <c r="A1" s="50" t="s">
        <v>472</v>
      </c>
      <c r="B1" s="50" t="s">
        <v>473</v>
      </c>
      <c r="C1" s="50" t="s">
        <v>474</v>
      </c>
      <c r="D1" s="50" t="s">
        <v>67</v>
      </c>
      <c r="E1" s="50" t="s">
        <v>475</v>
      </c>
      <c r="F1" s="50" t="s">
        <v>476</v>
      </c>
      <c r="G1" s="50" t="s">
        <v>477</v>
      </c>
      <c r="H1" s="50" t="s">
        <v>478</v>
      </c>
    </row>
    <row r="2" spans="1:8" x14ac:dyDescent="0.2">
      <c r="A2" s="48" t="s">
        <v>479</v>
      </c>
      <c r="B2" s="48" t="s">
        <v>480</v>
      </c>
      <c r="C2" s="48" t="s">
        <v>481</v>
      </c>
      <c r="D2" s="48" t="s">
        <v>482</v>
      </c>
      <c r="E2" s="48" t="s">
        <v>483</v>
      </c>
      <c r="F2" s="48" t="s">
        <v>484</v>
      </c>
      <c r="G2" s="48" t="s">
        <v>485</v>
      </c>
      <c r="H2" s="48" t="s">
        <v>486</v>
      </c>
    </row>
    <row r="3" spans="1:8" ht="25.5" x14ac:dyDescent="0.2">
      <c r="A3" s="48" t="s">
        <v>487</v>
      </c>
      <c r="B3" s="48" t="s">
        <v>488</v>
      </c>
      <c r="C3" s="48" t="s">
        <v>489</v>
      </c>
      <c r="D3" s="48" t="s">
        <v>490</v>
      </c>
      <c r="E3" s="48" t="s">
        <v>491</v>
      </c>
      <c r="F3" s="48" t="s">
        <v>492</v>
      </c>
      <c r="G3" s="48" t="s">
        <v>493</v>
      </c>
      <c r="H3" s="48" t="s">
        <v>494</v>
      </c>
    </row>
    <row r="4" spans="1:8" ht="25.5" x14ac:dyDescent="0.2">
      <c r="A4" s="48" t="s">
        <v>495</v>
      </c>
      <c r="B4" s="48" t="s">
        <v>496</v>
      </c>
      <c r="C4" s="48" t="s">
        <v>497</v>
      </c>
      <c r="D4" s="48" t="s">
        <v>498</v>
      </c>
      <c r="E4" s="48" t="s">
        <v>499</v>
      </c>
      <c r="F4" s="48" t="s">
        <v>500</v>
      </c>
      <c r="G4" s="48" t="s">
        <v>501</v>
      </c>
      <c r="H4" s="48" t="s">
        <v>502</v>
      </c>
    </row>
    <row r="5" spans="1:8" ht="25.5" x14ac:dyDescent="0.2">
      <c r="A5" s="48" t="s">
        <v>503</v>
      </c>
      <c r="B5" s="48" t="s">
        <v>504</v>
      </c>
      <c r="C5" s="48" t="s">
        <v>505</v>
      </c>
      <c r="D5" s="48" t="s">
        <v>506</v>
      </c>
      <c r="E5" s="48" t="s">
        <v>507</v>
      </c>
      <c r="F5" s="48" t="s">
        <v>508</v>
      </c>
      <c r="G5" s="48" t="s">
        <v>509</v>
      </c>
      <c r="H5" s="48" t="s">
        <v>510</v>
      </c>
    </row>
    <row r="6" spans="1:8" ht="25.5" x14ac:dyDescent="0.2">
      <c r="A6" s="48" t="s">
        <v>511</v>
      </c>
      <c r="B6" s="48" t="s">
        <v>512</v>
      </c>
      <c r="C6" s="48" t="s">
        <v>513</v>
      </c>
      <c r="D6" s="48" t="s">
        <v>514</v>
      </c>
      <c r="E6" s="48" t="s">
        <v>515</v>
      </c>
      <c r="F6" s="48" t="s">
        <v>516</v>
      </c>
      <c r="G6" s="48" t="s">
        <v>517</v>
      </c>
      <c r="H6" s="48" t="s">
        <v>518</v>
      </c>
    </row>
    <row r="7" spans="1:8" ht="25.5" x14ac:dyDescent="0.2">
      <c r="A7" s="48" t="s">
        <v>519</v>
      </c>
      <c r="B7" s="48" t="s">
        <v>520</v>
      </c>
      <c r="C7" s="48" t="s">
        <v>521</v>
      </c>
      <c r="D7" s="48" t="s">
        <v>522</v>
      </c>
      <c r="E7" s="48" t="s">
        <v>523</v>
      </c>
      <c r="F7" s="48"/>
      <c r="G7" s="48" t="s">
        <v>524</v>
      </c>
      <c r="H7" s="48" t="s">
        <v>525</v>
      </c>
    </row>
    <row r="8" spans="1:8" x14ac:dyDescent="0.2">
      <c r="A8" s="48"/>
      <c r="B8" s="48"/>
      <c r="C8" s="48"/>
      <c r="D8" s="48"/>
      <c r="E8" s="48"/>
      <c r="F8" s="48"/>
      <c r="G8" s="48" t="s">
        <v>526</v>
      </c>
      <c r="H8" s="48"/>
    </row>
    <row r="9" spans="1:8" x14ac:dyDescent="0.2">
      <c r="A9" s="48"/>
      <c r="B9" s="48"/>
      <c r="C9" s="48"/>
      <c r="D9" s="48"/>
      <c r="E9" s="48"/>
      <c r="F9" s="48"/>
      <c r="G9" s="48" t="s">
        <v>527</v>
      </c>
      <c r="H9" s="48"/>
    </row>
    <row r="10" spans="1:8" x14ac:dyDescent="0.2">
      <c r="A10" s="48"/>
      <c r="B10" s="48"/>
      <c r="C10" s="48"/>
      <c r="D10" s="48"/>
      <c r="E10" s="48"/>
      <c r="F10" s="48"/>
      <c r="G10" s="48" t="s">
        <v>528</v>
      </c>
      <c r="H10" s="4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идеи роликов</vt:lpstr>
      <vt:lpstr>Общий план</vt:lpstr>
      <vt:lpstr>план</vt:lpstr>
      <vt:lpstr>Фоны</vt:lpstr>
      <vt:lpstr>Предметы</vt:lpstr>
      <vt:lpstr>Персонажи</vt:lpstr>
      <vt:lpstr>AI draft</vt:lpstr>
      <vt:lpstr>промт фото</vt:lpstr>
      <vt:lpstr>промт видео</vt:lpstr>
      <vt:lpstr>промт текста</vt:lpstr>
      <vt:lpstr>Промт для GPT</vt:lpstr>
      <vt:lpstr>промт плана</vt:lpstr>
      <vt:lpstr>Инструкция_агнета</vt:lpstr>
      <vt:lpstr>Справочники_блоки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aicreator</cp:lastModifiedBy>
  <dcterms:modified xsi:type="dcterms:W3CDTF">2026-05-07T10:16:12Z</dcterms:modified>
</cp:coreProperties>
</file>